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Cover &amp; Sign-off" sheetId="1" state="visible" r:id="rId1"/>
    <sheet xmlns:r="http://schemas.openxmlformats.org/officeDocument/2006/relationships" name="2. Methodology &amp; Appetite" sheetId="2" state="visible" r:id="rId2"/>
    <sheet xmlns:r="http://schemas.openxmlformats.org/officeDocument/2006/relationships" name="3. Risk Register" sheetId="3" state="visible" r:id="rId3"/>
    <sheet xmlns:r="http://schemas.openxmlformats.org/officeDocument/2006/relationships" name="4. Control Library" sheetId="4" state="visible" r:id="rId4"/>
    <sheet xmlns:r="http://schemas.openxmlformats.org/officeDocument/2006/relationships" name="5. Action Plan" sheetId="5" state="visible" r:id="rId5"/>
    <sheet xmlns:r="http://schemas.openxmlformats.org/officeDocument/2006/relationships" name="6. KRI-KCI Register" sheetId="6" state="visible" r:id="rId6"/>
    <sheet xmlns:r="http://schemas.openxmlformats.org/officeDocument/2006/relationships" name="7. Profile Summary" sheetId="7" state="visible" r:id="rId7"/>
  </sheets>
  <definedNames>
    <definedName name="_xlnm.Print_Titles" localSheetId="2">'3. Risk Register'!$1:$2</definedName>
    <definedName name="_xlnm.Print_Titles" localSheetId="3">'4. Control Library'!$1:$2</definedName>
    <definedName name="_xlnm.Print_Titles" localSheetId="4">'5. Action Plan'!$1:$2</definedName>
    <definedName name="_xlnm.Print_Titles" localSheetId="5">'6. KRI-KCI Register'!$1:$2</definedName>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rial"/>
      <b val="1"/>
      <color rgb="001F3864"/>
      <sz val="18"/>
    </font>
    <font>
      <name val="Arial"/>
      <b val="1"/>
      <color rgb="002E4B7A"/>
      <sz val="11"/>
    </font>
    <font>
      <name val="Arial"/>
      <i val="1"/>
      <color rgb="00808080"/>
      <sz val="10"/>
    </font>
    <font>
      <name val="Arial"/>
      <color rgb="00808080"/>
      <sz val="9"/>
    </font>
    <font>
      <name val="Arial"/>
      <i val="1"/>
      <color rgb="00404040"/>
      <sz val="9"/>
    </font>
    <font>
      <name val="Arial"/>
      <b val="1"/>
      <color rgb="001F3864"/>
      <sz val="11"/>
    </font>
    <font>
      <name val="Arial"/>
      <color rgb="001A1A1A"/>
      <sz val="9"/>
    </font>
    <font>
      <name val="Arial"/>
      <b val="1"/>
      <color rgb="001F3864"/>
      <sz val="9"/>
    </font>
    <font>
      <name val="Arial"/>
      <b val="1"/>
      <color rgb="00FFFFFF"/>
      <sz val="9"/>
    </font>
    <font>
      <name val="Arial"/>
      <b val="1"/>
      <color rgb="001A1A1A"/>
      <sz val="9"/>
    </font>
    <font>
      <name val="Arial"/>
      <b val="1"/>
      <color rgb="001F3864"/>
      <sz val="16"/>
    </font>
    <font>
      <name val="Arial"/>
      <b val="1"/>
      <color rgb="00375623"/>
      <sz val="9"/>
    </font>
    <font>
      <name val="Arial"/>
      <b val="1"/>
      <color rgb="007F6000"/>
      <sz val="9"/>
    </font>
    <font>
      <name val="Arial"/>
      <b val="1"/>
      <color rgb="009C4415"/>
      <sz val="9"/>
    </font>
    <font>
      <name val="Arial"/>
      <b val="1"/>
      <color rgb="009C0006"/>
      <sz val="9"/>
    </font>
    <font>
      <name val="Arial"/>
      <b val="1"/>
      <color rgb="00FFFFFF"/>
      <sz val="8"/>
    </font>
    <font>
      <name val="Arial"/>
      <color rgb="001A1A1A"/>
      <sz val="8"/>
    </font>
    <font>
      <name val="Arial"/>
      <i val="1"/>
      <color rgb="00808080"/>
      <sz val="8"/>
    </font>
    <font>
      <name val="Arial"/>
      <i val="1"/>
      <color rgb="00808080"/>
      <sz val="9"/>
    </font>
  </fonts>
  <fills count="9">
    <fill>
      <patternFill/>
    </fill>
    <fill>
      <patternFill patternType="gray125"/>
    </fill>
    <fill>
      <patternFill patternType="solid">
        <fgColor rgb="00D9E1F2"/>
      </patternFill>
    </fill>
    <fill>
      <patternFill patternType="solid">
        <fgColor rgb="001F3864"/>
      </patternFill>
    </fill>
    <fill>
      <patternFill patternType="solid">
        <fgColor rgb="00FFFDE7"/>
      </patternFill>
    </fill>
    <fill>
      <patternFill patternType="solid">
        <fgColor rgb="00E2EFDA"/>
      </patternFill>
    </fill>
    <fill>
      <patternFill patternType="solid">
        <fgColor rgb="00FFF2CC"/>
      </patternFill>
    </fill>
    <fill>
      <patternFill patternType="solid">
        <fgColor rgb="00FCE4D6"/>
      </patternFill>
    </fill>
    <fill>
      <patternFill patternType="solid">
        <fgColor rgb="00F4CCCC"/>
      </patternFill>
    </fill>
  </fills>
  <borders count="5">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s>
  <cellStyleXfs count="1">
    <xf numFmtId="0" fontId="0" fillId="0" borderId="0"/>
  </cellStyleXfs>
  <cellXfs count="5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horizontal="left" vertical="top" wrapText="1"/>
    </xf>
    <xf numFmtId="0" fontId="6" fillId="0" borderId="0" pivotButton="0" quotePrefix="0" xfId="0"/>
    <xf numFmtId="0" fontId="7" fillId="0" borderId="0" applyAlignment="1" pivotButton="0" quotePrefix="0" xfId="0">
      <alignment horizontal="left" vertical="top" wrapText="1"/>
    </xf>
    <xf numFmtId="0" fontId="8" fillId="2" borderId="1" applyAlignment="1" pivotButton="0" quotePrefix="0" xfId="0">
      <alignment horizontal="left" vertical="center" wrapText="1"/>
    </xf>
    <xf numFmtId="0" fontId="7" fillId="0" borderId="1" applyAlignment="1" pivotButton="0" quotePrefix="0" xfId="0">
      <alignment horizontal="left" vertical="center"/>
    </xf>
    <xf numFmtId="0" fontId="0" fillId="0" borderId="4" pivotButton="0" quotePrefix="0" xfId="0"/>
    <xf numFmtId="0" fontId="9" fillId="3" borderId="1" applyAlignment="1" pivotButton="0" quotePrefix="0" xfId="0">
      <alignment horizontal="left" vertical="center" wrapText="1"/>
    </xf>
    <xf numFmtId="0" fontId="10" fillId="0" borderId="1" applyAlignment="1" pivotButton="0" quotePrefix="0" xfId="0">
      <alignment horizontal="left" vertical="center"/>
    </xf>
    <xf numFmtId="0" fontId="7" fillId="4" borderId="1" applyAlignment="1" pivotButton="0" quotePrefix="0" xfId="0">
      <alignment horizontal="left" vertical="center" wrapText="1"/>
    </xf>
    <xf numFmtId="0" fontId="7" fillId="0" borderId="1" applyAlignment="1" pivotButton="0" quotePrefix="0" xfId="0">
      <alignment horizontal="left" vertical="center" wrapText="1"/>
    </xf>
    <xf numFmtId="0" fontId="0" fillId="4" borderId="1" pivotButton="0" quotePrefix="0" xfId="0"/>
    <xf numFmtId="0" fontId="11" fillId="0" borderId="0" pivotButton="0" quotePrefix="0" xfId="0"/>
    <xf numFmtId="0" fontId="9" fillId="3" borderId="1" applyAlignment="1" pivotButton="0" quotePrefix="0" xfId="0">
      <alignment horizontal="center" vertical="center" wrapText="1"/>
    </xf>
    <xf numFmtId="0" fontId="10" fillId="0" borderId="1" applyAlignment="1" pivotButton="0" quotePrefix="0" xfId="0">
      <alignment horizontal="center" vertical="center"/>
    </xf>
    <xf numFmtId="0" fontId="7" fillId="0" borderId="1" applyAlignment="1" pivotButton="0" quotePrefix="0" xfId="0">
      <alignment horizontal="center" vertical="center"/>
    </xf>
    <xf numFmtId="0" fontId="12" fillId="5" borderId="1" applyAlignment="1" pivotButton="0" quotePrefix="0" xfId="0">
      <alignment horizontal="center" vertical="center"/>
    </xf>
    <xf numFmtId="0" fontId="13" fillId="6" borderId="1" applyAlignment="1" pivotButton="0" quotePrefix="0" xfId="0">
      <alignment horizontal="center" vertical="center"/>
    </xf>
    <xf numFmtId="0" fontId="14" fillId="7" borderId="1" applyAlignment="1" pivotButton="0" quotePrefix="0" xfId="0">
      <alignment horizontal="center" vertical="center"/>
    </xf>
    <xf numFmtId="0" fontId="15" fillId="8" borderId="1" applyAlignment="1" pivotButton="0" quotePrefix="0" xfId="0">
      <alignment horizontal="center" vertical="center"/>
    </xf>
    <xf numFmtId="0" fontId="10" fillId="0" borderId="1" applyAlignment="1" pivotButton="0" quotePrefix="0" xfId="0">
      <alignment horizontal="left" vertical="center" wrapText="1"/>
    </xf>
    <xf numFmtId="0" fontId="10" fillId="0" borderId="0" applyAlignment="1" pivotButton="0" quotePrefix="0" xfId="0">
      <alignment horizontal="left" vertical="top" wrapText="1"/>
    </xf>
    <xf numFmtId="0" fontId="16" fillId="3" borderId="1" applyAlignment="1" pivotButton="0" quotePrefix="0" xfId="0">
      <alignment horizontal="center" vertical="center" wrapText="1"/>
    </xf>
    <xf numFmtId="0" fontId="8" fillId="0" borderId="1" applyAlignment="1" pivotButton="0" quotePrefix="0" xfId="0">
      <alignment horizontal="left" vertical="center" wrapText="1"/>
    </xf>
    <xf numFmtId="0" fontId="17" fillId="0" borderId="1" applyAlignment="1" pivotButton="0" quotePrefix="0" xfId="0">
      <alignment horizontal="left" vertical="center" wrapText="1"/>
    </xf>
    <xf numFmtId="0" fontId="7" fillId="4" borderId="1" applyAlignment="1" pivotButton="0" quotePrefix="0" xfId="0">
      <alignment horizontal="center" vertical="center"/>
    </xf>
    <xf numFmtId="0" fontId="7" fillId="4" borderId="1" applyAlignment="1" pivotButton="0" quotePrefix="0" xfId="0">
      <alignment horizontal="center" vertical="center" wrapText="1"/>
    </xf>
    <xf numFmtId="0" fontId="7" fillId="0" borderId="1" applyAlignment="1" pivotButton="0" quotePrefix="0" xfId="0">
      <alignment horizontal="center" vertical="center" wrapText="1"/>
    </xf>
    <xf numFmtId="0" fontId="18" fillId="0" borderId="1" applyAlignment="1" pivotButton="0" quotePrefix="0" xfId="0">
      <alignment horizontal="left" vertical="center" wrapText="1"/>
    </xf>
    <xf numFmtId="0" fontId="8" fillId="0" borderId="1" applyAlignment="1" pivotButton="0" quotePrefix="0" xfId="0">
      <alignment horizontal="center" vertical="center" wrapText="1"/>
    </xf>
    <xf numFmtId="0" fontId="19" fillId="0" borderId="0" pivotButton="0" quotePrefix="0" xfId="0"/>
    <xf numFmtId="0" fontId="9" fillId="3" borderId="1" pivotButton="0" quotePrefix="0" xfId="0"/>
    <xf numFmtId="0" fontId="9" fillId="3" borderId="1" applyAlignment="1" pivotButton="0" quotePrefix="0" xfId="0">
      <alignment horizontal="center" vertical="center"/>
    </xf>
    <xf numFmtId="0" fontId="15" fillId="8" borderId="1" pivotButton="0" quotePrefix="0" xfId="0"/>
    <xf numFmtId="0" fontId="14" fillId="7" borderId="1" pivotButton="0" quotePrefix="0" xfId="0"/>
    <xf numFmtId="0" fontId="13" fillId="6" borderId="1" pivotButton="0" quotePrefix="0" xfId="0"/>
    <xf numFmtId="0" fontId="12" fillId="5" borderId="1" pivotButton="0" quotePrefix="0" xfId="0"/>
    <xf numFmtId="0" fontId="10" fillId="0" borderId="1" pivotButton="0" quotePrefix="0" xfId="0"/>
    <xf numFmtId="0" fontId="7" fillId="8" borderId="1" pivotButton="0" quotePrefix="0" xfId="0"/>
    <xf numFmtId="0" fontId="0" fillId="0" borderId="1" pivotButton="0" quotePrefix="0" xfId="0"/>
    <xf numFmtId="0" fontId="7" fillId="5" borderId="1" pivotButton="0" quotePrefix="0" xfId="0"/>
    <xf numFmtId="0" fontId="7" fillId="7" borderId="1" pivotButton="0" quotePrefix="0" xfId="0"/>
    <xf numFmtId="0" fontId="7" fillId="6" borderId="1" pivotButton="0" quotePrefix="0" xfId="0"/>
    <xf numFmtId="0" fontId="18" fillId="0" borderId="0" pivotButton="0" quotePrefix="0" xfId="0"/>
    <xf numFmtId="0" fontId="10" fillId="6" borderId="1" applyAlignment="1" pivotButton="0" quotePrefix="0" xfId="0">
      <alignment horizontal="center" vertical="center"/>
    </xf>
    <xf numFmtId="0" fontId="10" fillId="7" borderId="1" applyAlignment="1" pivotButton="0" quotePrefix="0" xfId="0">
      <alignment horizontal="center" vertical="center"/>
    </xf>
    <xf numFmtId="0" fontId="10" fillId="8" borderId="1" applyAlignment="1" pivotButton="0" quotePrefix="0" xfId="0">
      <alignment horizontal="center" vertical="center"/>
    </xf>
    <xf numFmtId="0" fontId="10" fillId="5" borderId="1" applyAlignment="1" pivotButton="0" quotePrefix="0" xfId="0">
      <alignment horizontal="center" vertical="center"/>
    </xf>
  </cellXfs>
  <cellStyles count="1">
    <cellStyle name="Normal" xfId="0" builtinId="0" hidden="0"/>
  </cellStyles>
  <dxfs count="8">
    <dxf>
      <font>
        <name val="Arial"/>
        <b val="1"/>
        <color rgb="009C0006"/>
        <sz val="10"/>
      </font>
      <fill>
        <patternFill patternType="solid">
          <fgColor rgb="00F4CCCC"/>
        </patternFill>
      </fill>
    </dxf>
    <dxf>
      <font>
        <name val="Arial"/>
        <b val="1"/>
        <color rgb="009C4415"/>
        <sz val="10"/>
      </font>
      <fill>
        <patternFill patternType="solid">
          <fgColor rgb="00FCE4D6"/>
        </patternFill>
      </fill>
    </dxf>
    <dxf>
      <font>
        <name val="Arial"/>
        <b val="1"/>
        <color rgb="007F6000"/>
        <sz val="10"/>
      </font>
      <fill>
        <patternFill patternType="solid">
          <fgColor rgb="00FFF2CC"/>
        </patternFill>
      </fill>
    </dxf>
    <dxf>
      <font>
        <name val="Arial"/>
        <b val="1"/>
        <color rgb="00375623"/>
        <sz val="10"/>
      </font>
      <fill>
        <patternFill patternType="solid">
          <fgColor rgb="00E2EFDA"/>
        </patternFill>
      </fill>
    </dxf>
    <dxf>
      <font>
        <name val="Arial"/>
        <b val="1"/>
        <color rgb="009C0006"/>
        <sz val="9"/>
      </font>
      <fill>
        <patternFill patternType="solid">
          <fgColor rgb="00F4CCCC"/>
        </patternFill>
      </fill>
    </dxf>
    <dxf>
      <font>
        <name val="Arial"/>
        <b val="1"/>
        <color rgb="007F6000"/>
        <sz val="9"/>
      </font>
      <fill>
        <patternFill patternType="solid">
          <fgColor rgb="00FFF2CC"/>
        </patternFill>
      </fill>
    </dxf>
    <dxf>
      <font>
        <name val="Arial"/>
        <b val="1"/>
        <color rgb="00375623"/>
        <sz val="9"/>
      </font>
      <fill>
        <patternFill patternType="solid">
          <fgColor rgb="00E2EFDA"/>
        </patternFill>
      </fill>
    </dxf>
    <dxf>
      <font>
        <name val="Arial"/>
        <b val="1"/>
        <color rgb="009C4415"/>
        <sz val="9"/>
      </font>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E37"/>
  <sheetViews>
    <sheetView showGridLines="0" workbookViewId="0">
      <selection activeCell="A1" sqref="A1"/>
    </sheetView>
  </sheetViews>
  <sheetFormatPr baseColWidth="8" defaultRowHeight="15"/>
  <cols>
    <col width="3" customWidth="1" min="1" max="1"/>
    <col width="34" customWidth="1" min="2" max="2"/>
    <col width="60" customWidth="1" min="3" max="3"/>
    <col width="28" customWidth="1" min="4" max="4"/>
    <col width="16" customWidth="1" min="5" max="5"/>
  </cols>
  <sheetData>
    <row r="2">
      <c r="B2" s="1" t="inlineStr">
        <is>
          <t>RISK &amp; CONTROL SELF-ASSESSMENT (RCSA)</t>
        </is>
      </c>
    </row>
    <row r="3">
      <c r="B3" s="2" t="inlineStr">
        <is>
          <t>Reusable instrument — a standard method for assessing any process</t>
        </is>
      </c>
    </row>
    <row r="4">
      <c r="B4" s="3" t="inlineStr">
        <is>
          <t>Blank template — copy this workbook and complete the tabs for your own assessment</t>
        </is>
      </c>
    </row>
    <row r="5">
      <c r="B5" s="4" t="inlineStr">
        <is>
          <t>Version 1.1  ·  1 September 2026  ·  Author: socragpt  ·  Licence: CC BY 4.0</t>
        </is>
      </c>
    </row>
    <row r="7" ht="42" customHeight="1">
      <c r="B7" s="5" t="inlineStr">
        <is>
          <t>An independent, open Risk &amp; Control Self-Assessment (RCSA) instrument: a standard first-line self-assessment method for any process. Complete the tabs below; the scores, bands, appetite status, priorities and the profile heat map calculate automatically. Two completed worked examples ship alongside this template in the repository's examples/ folder.</t>
        </is>
      </c>
    </row>
    <row r="9">
      <c r="B9" s="6" t="inlineStr">
        <is>
          <t>How to use this instrument</t>
        </is>
      </c>
    </row>
    <row r="10" ht="26" customHeight="1">
      <c r="B10" s="7" t="inlineStr">
        <is>
          <t>1.  Read the Methodology &amp; Appetite tab: likelihood/impact scales, control-effectiveness ratings, the risk-appetite statement and the action-priority rules.</t>
        </is>
      </c>
    </row>
    <row r="11" ht="26" customHeight="1">
      <c r="B11" s="7" t="inlineStr">
        <is>
          <t>2.  Complete this Cover: entity, process, dates, cadence, and the three-lines-of-defence sign-off.</t>
        </is>
      </c>
    </row>
    <row r="12" ht="26" customHeight="1">
      <c r="B12" s="7" t="inlineStr">
        <is>
          <t>3.  Populate the Risk Register (tab 3). Enter Likelihood, Impact and the residual ratings; inherent/residual scores, bands, appetite status and priority calculate automatically.</t>
        </is>
      </c>
    </row>
    <row r="13" ht="26" customHeight="1">
      <c r="B13" s="7" t="inlineStr">
        <is>
          <t>4.  Complete the Control Library (tab 4), Action Plan (tab 5) and KRI/KCI register (tab 6).</t>
        </is>
      </c>
    </row>
    <row r="14" ht="26" customHeight="1">
      <c r="B14" s="7" t="inlineStr">
        <is>
          <t>5.  Review the Profile Summary (tab 7) — residual heat map and appetite-breach counts update from the register.</t>
        </is>
      </c>
    </row>
    <row r="15" ht="26" customHeight="1">
      <c r="B15" s="7" t="inlineStr">
        <is>
          <t>Add rows as needed: copy a data row (which carries the formulas and dropdowns) and paste it below. See the examples/ folder for two completed assessments.</t>
        </is>
      </c>
    </row>
    <row r="17">
      <c r="B17" s="6" t="inlineStr">
        <is>
          <t>Assessment record</t>
        </is>
      </c>
    </row>
    <row r="18">
      <c r="B18" s="8" t="inlineStr">
        <is>
          <t>Entity / organisation</t>
        </is>
      </c>
      <c r="C18" s="9" t="inlineStr">
        <is>
          <t>[Your organisation]</t>
        </is>
      </c>
      <c r="D18" s="10" t="n"/>
    </row>
    <row r="19">
      <c r="B19" s="8" t="inlineStr">
        <is>
          <t>Process assessed</t>
        </is>
      </c>
      <c r="C19" s="9" t="inlineStr">
        <is>
          <t>[Process under assessment]</t>
        </is>
      </c>
      <c r="D19" s="10" t="n"/>
    </row>
    <row r="20">
      <c r="B20" s="8" t="inlineStr">
        <is>
          <t>Assessment ID</t>
        </is>
      </c>
      <c r="C20" s="9" t="inlineStr">
        <is>
          <t>RCSA-[XXX]-[YYYY]-[NN]</t>
        </is>
      </c>
      <c r="D20" s="10" t="n"/>
    </row>
    <row r="21">
      <c r="B21" s="8" t="inlineStr">
        <is>
          <t>Assessment type</t>
        </is>
      </c>
      <c r="C21" s="9" t="inlineStr">
        <is>
          <t>[Periodic  /  Event-driven refresh (post-incident)]</t>
        </is>
      </c>
      <c r="D21" s="10" t="n"/>
    </row>
    <row r="22">
      <c r="B22" s="8" t="inlineStr">
        <is>
          <t>Assessment period</t>
        </is>
      </c>
      <c r="C22" s="9" t="inlineStr">
        <is>
          <t>[FYxxxx]</t>
        </is>
      </c>
      <c r="D22" s="10" t="n"/>
    </row>
    <row r="23">
      <c r="B23" s="8" t="inlineStr">
        <is>
          <t>Review cadence</t>
        </is>
      </c>
      <c r="C23" s="9" t="inlineStr">
        <is>
          <t>[e.g. Annual, with event-driven refresh on any material incident]</t>
        </is>
      </c>
      <c r="D23" s="10" t="n"/>
    </row>
    <row r="24">
      <c r="B24" s="8" t="inlineStr">
        <is>
          <t>Date performed</t>
        </is>
      </c>
      <c r="C24" s="9" t="inlineStr">
        <is>
          <t>[date]</t>
        </is>
      </c>
      <c r="D24" s="10" t="n"/>
    </row>
    <row r="25">
      <c r="B25" s="8" t="inlineStr">
        <is>
          <t>Next scheduled review</t>
        </is>
      </c>
      <c r="C25" s="9" t="inlineStr">
        <is>
          <t>[date, or on next material change]</t>
        </is>
      </c>
      <c r="D25" s="10" t="n"/>
    </row>
    <row r="26">
      <c r="B26" s="8" t="inlineStr">
        <is>
          <t>Status</t>
        </is>
      </c>
      <c r="C26" s="9" t="inlineStr">
        <is>
          <t>[Draft / For second-line review / Approved]</t>
        </is>
      </c>
      <c r="D26" s="10" t="n"/>
    </row>
    <row r="28">
      <c r="B28" s="6" t="inlineStr">
        <is>
          <t>Governance &amp; sign-off (three lines of defence)</t>
        </is>
      </c>
    </row>
    <row r="29">
      <c r="B29" s="11" t="inlineStr">
        <is>
          <t>Line / role</t>
        </is>
      </c>
      <c r="C29" s="11" t="inlineStr">
        <is>
          <t>Accountable role (enter name)</t>
        </is>
      </c>
      <c r="D29" s="11" t="inlineStr">
        <is>
          <t>Responsibility</t>
        </is>
      </c>
      <c r="E29" s="11" t="inlineStr">
        <is>
          <t>Sign-off date</t>
        </is>
      </c>
    </row>
    <row r="30">
      <c r="B30" s="12" t="inlineStr">
        <is>
          <t>1st line — Assessment owner</t>
        </is>
      </c>
      <c r="C30" s="13" t="inlineStr">
        <is>
          <t>[Process owner role]</t>
        </is>
      </c>
      <c r="D30" s="14" t="inlineStr">
        <is>
          <t>Owns the process, risks and this assessment</t>
        </is>
      </c>
      <c r="E30" s="15" t="inlineStr"/>
    </row>
    <row r="31">
      <c r="B31" s="12" t="inlineStr">
        <is>
          <t>1st line — Control owner</t>
        </is>
      </c>
      <c r="C31" s="13" t="inlineStr">
        <is>
          <t>[Key control owner role]</t>
        </is>
      </c>
      <c r="D31" s="14" t="inlineStr">
        <is>
          <t>Owns key controls</t>
        </is>
      </c>
      <c r="E31" s="15" t="inlineStr"/>
    </row>
    <row r="32">
      <c r="B32" s="12" t="inlineStr">
        <is>
          <t>2nd line — Risk challenge</t>
        </is>
      </c>
      <c r="C32" s="13" t="inlineStr">
        <is>
          <t>[Risk function]</t>
        </is>
      </c>
      <c r="D32" s="14" t="inlineStr">
        <is>
          <t>Reviews &amp; challenges ratings and appetite</t>
        </is>
      </c>
      <c r="E32" s="15" t="inlineStr"/>
    </row>
    <row r="33">
      <c r="B33" s="12" t="inlineStr">
        <is>
          <t>2nd line — Security challenge</t>
        </is>
      </c>
      <c r="C33" s="13" t="inlineStr">
        <is>
          <t>[Security function]</t>
        </is>
      </c>
      <c r="D33" s="14" t="inlineStr">
        <is>
          <t>Reviews security controls &amp; residual risk</t>
        </is>
      </c>
      <c r="E33" s="15" t="inlineStr"/>
    </row>
    <row r="34">
      <c r="B34" s="12" t="inlineStr">
        <is>
          <t>3rd line — Assurance</t>
        </is>
      </c>
      <c r="C34" s="13" t="inlineStr">
        <is>
          <t>[Internal Audit / independent review]</t>
        </is>
      </c>
      <c r="D34" s="14" t="inlineStr">
        <is>
          <t>Independent validation of the assessment</t>
        </is>
      </c>
      <c r="E34" s="15" t="inlineStr"/>
    </row>
    <row r="35">
      <c r="B35" s="12" t="inlineStr">
        <is>
          <t>Approval</t>
        </is>
      </c>
      <c r="C35" s="13" t="inlineStr">
        <is>
          <t>[Approver role]</t>
        </is>
      </c>
      <c r="D35" s="14" t="inlineStr">
        <is>
          <t>Approves residual risk &amp; action plan</t>
        </is>
      </c>
      <c r="E35" s="15" t="inlineStr"/>
    </row>
    <row r="37" ht="42" customHeight="1">
      <c r="B37" s="5" t="inlineStr">
        <is>
          <t>Legend — cells shaded pale yellow are for completion by the assessor. In the register and library tabs, white data cells are editable; grey/navy headers and the calculated columns (scores, bands, appetite status, priority) are driven by formulas. © 2026 socragpt. Licensed under CC BY 4.0.</t>
        </is>
      </c>
    </row>
  </sheetData>
  <mergeCells count="17">
    <mergeCell ref="B10:D10"/>
    <mergeCell ref="B11:D11"/>
    <mergeCell ref="C20:D20"/>
    <mergeCell ref="B14:D14"/>
    <mergeCell ref="B15:D15"/>
    <mergeCell ref="C21:D21"/>
    <mergeCell ref="C24:D24"/>
    <mergeCell ref="C25:D25"/>
    <mergeCell ref="B37:E37"/>
    <mergeCell ref="C19:D19"/>
    <mergeCell ref="C26:D26"/>
    <mergeCell ref="B13:D13"/>
    <mergeCell ref="C22:D22"/>
    <mergeCell ref="C18:D18"/>
    <mergeCell ref="B12:D12"/>
    <mergeCell ref="B7:D7"/>
    <mergeCell ref="C23:D23"/>
  </mergeCells>
  <printOptions horizontalCentered="1"/>
  <pageMargins left="0.3" right="0.3" top="0.4" bottom="0.4"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B2:D43"/>
  <sheetViews>
    <sheetView showGridLines="0" workbookViewId="0">
      <selection activeCell="A1" sqref="A1"/>
    </sheetView>
  </sheetViews>
  <sheetFormatPr baseColWidth="8" defaultRowHeight="15"/>
  <cols>
    <col width="3" customWidth="1" min="1" max="1"/>
    <col width="16" customWidth="1" min="2" max="2"/>
    <col width="20" customWidth="1" min="3" max="3"/>
    <col width="74" customWidth="1" min="4" max="4"/>
  </cols>
  <sheetData>
    <row r="2">
      <c r="B2" s="16" t="inlineStr">
        <is>
          <t>Methodology &amp; Risk Appetite</t>
        </is>
      </c>
    </row>
    <row r="4">
      <c r="B4" s="6" t="inlineStr">
        <is>
          <t>A. Likelihood (L) — over a 12-month horizon</t>
        </is>
      </c>
    </row>
    <row r="5">
      <c r="B5" s="17" t="inlineStr">
        <is>
          <t>Score</t>
        </is>
      </c>
      <c r="C5" s="11" t="inlineStr">
        <is>
          <t>Rating</t>
        </is>
      </c>
      <c r="D5" s="11" t="inlineStr">
        <is>
          <t>Definition</t>
        </is>
      </c>
    </row>
    <row r="6">
      <c r="B6" s="18" t="n">
        <v>1</v>
      </c>
      <c r="C6" s="14" t="inlineStr">
        <is>
          <t>Rare</t>
        </is>
      </c>
      <c r="D6" s="14" t="inlineStr">
        <is>
          <t>&lt;5% in 12 months; no known precedent.</t>
        </is>
      </c>
    </row>
    <row r="7">
      <c r="B7" s="18" t="n">
        <v>2</v>
      </c>
      <c r="C7" s="14" t="inlineStr">
        <is>
          <t>Unlikely</t>
        </is>
      </c>
      <c r="D7" s="14" t="inlineStr">
        <is>
          <t>5–25%; could occur but not expected.</t>
        </is>
      </c>
    </row>
    <row r="8">
      <c r="B8" s="18" t="n">
        <v>3</v>
      </c>
      <c r="C8" s="14" t="inlineStr">
        <is>
          <t>Possible</t>
        </is>
      </c>
      <c r="D8" s="14" t="inlineStr">
        <is>
          <t>25–50%; may occur occasionally.</t>
        </is>
      </c>
    </row>
    <row r="9">
      <c r="B9" s="18" t="n">
        <v>4</v>
      </c>
      <c r="C9" s="14" t="inlineStr">
        <is>
          <t>Likely</t>
        </is>
      </c>
      <c r="D9" s="14" t="inlineStr">
        <is>
          <t>50–85%; expected in most circumstances.</t>
        </is>
      </c>
    </row>
    <row r="10">
      <c r="B10" s="18" t="n">
        <v>5</v>
      </c>
      <c r="C10" s="14" t="inlineStr">
        <is>
          <t>Almost Certain</t>
        </is>
      </c>
      <c r="D10" s="14" t="inlineStr">
        <is>
          <t>&gt;85%; expected frequently, or already observed / recurring.</t>
        </is>
      </c>
    </row>
    <row r="12">
      <c r="B12" s="6" t="inlineStr">
        <is>
          <t>B. Impact (I) — highest applicable dimension governs</t>
        </is>
      </c>
    </row>
    <row r="13">
      <c r="B13" s="17" t="inlineStr">
        <is>
          <t>Score</t>
        </is>
      </c>
      <c r="C13" s="11" t="inlineStr">
        <is>
          <t>Rating</t>
        </is>
      </c>
      <c r="D13" s="11" t="inlineStr">
        <is>
          <t>Illustrative anchors (safety/alignment · security · third-party &amp; regulatory · reputational · operational)</t>
        </is>
      </c>
    </row>
    <row r="14" ht="28" customHeight="1">
      <c r="B14" s="18" t="n">
        <v>1</v>
      </c>
      <c r="C14" s="14" t="inlineStr">
        <is>
          <t>Insignificant</t>
        </is>
      </c>
      <c r="D14" s="14" t="inlineStr">
        <is>
          <t>Negligible; contained within a single workload; no external effect.</t>
        </is>
      </c>
    </row>
    <row r="15" ht="28" customHeight="1">
      <c r="B15" s="18" t="n">
        <v>2</v>
      </c>
      <c r="C15" s="14" t="inlineStr">
        <is>
          <t>Minor</t>
        </is>
      </c>
      <c r="D15" s="14" t="inlineStr">
        <is>
          <t>Limited, readily remediated; no external impact; immaterial cost.</t>
        </is>
      </c>
    </row>
    <row r="16" ht="28" customHeight="1">
      <c r="B16" s="18" t="n">
        <v>3</v>
      </c>
      <c r="C16" s="14" t="inlineStr">
        <is>
          <t>Moderate</t>
        </is>
      </c>
      <c r="D16" s="14" t="inlineStr">
        <is>
          <t>Notable internal impact; limited external or data exposure; local regulatory interest.</t>
        </is>
      </c>
    </row>
    <row r="17" ht="28" customHeight="1">
      <c r="B17" s="18" t="n">
        <v>4</v>
      </c>
      <c r="C17" s="14" t="inlineStr">
        <is>
          <t>Major</t>
        </is>
      </c>
      <c r="D17" s="14" t="inlineStr">
        <is>
          <t>Serious safety/security failure; third-party harm or data exposure; significant reputational/regulatory attention.</t>
        </is>
      </c>
    </row>
    <row r="18" ht="28" customHeight="1">
      <c r="B18" s="18" t="n">
        <v>5</v>
      </c>
      <c r="C18" s="14" t="inlineStr">
        <is>
          <t>Severe</t>
        </is>
      </c>
      <c r="D18" s="14" t="inlineStr">
        <is>
          <t>Loss of control of a capable system; material third-party breach; potential self-propagation or weight exfiltration; systemic reputational/regulatory harm.</t>
        </is>
      </c>
    </row>
    <row r="20">
      <c r="B20" s="6" t="inlineStr">
        <is>
          <t>C. Inherent / Residual risk = L × I</t>
        </is>
      </c>
    </row>
    <row r="21">
      <c r="B21" s="11" t="inlineStr">
        <is>
          <t>Score range</t>
        </is>
      </c>
      <c r="C21" s="11" t="inlineStr">
        <is>
          <t>Band</t>
        </is>
      </c>
      <c r="D21" s="11" t="inlineStr">
        <is>
          <t>Response posture</t>
        </is>
      </c>
    </row>
    <row r="22">
      <c r="B22" s="19" t="inlineStr">
        <is>
          <t>1–4</t>
        </is>
      </c>
      <c r="C22" s="20" t="inlineStr">
        <is>
          <t>Low</t>
        </is>
      </c>
      <c r="D22" s="14" t="inlineStr">
        <is>
          <t>Accept / monitor.</t>
        </is>
      </c>
    </row>
    <row r="23">
      <c r="B23" s="19" t="inlineStr">
        <is>
          <t>5–9</t>
        </is>
      </c>
      <c r="C23" s="21" t="inlineStr">
        <is>
          <t>Moderate</t>
        </is>
      </c>
      <c r="D23" s="14" t="inlineStr">
        <is>
          <t>Manage via routine controls; periodic review.</t>
        </is>
      </c>
    </row>
    <row r="24">
      <c r="B24" s="19" t="inlineStr">
        <is>
          <t>10–15</t>
        </is>
      </c>
      <c r="C24" s="22" t="inlineStr">
        <is>
          <t>High</t>
        </is>
      </c>
      <c r="D24" s="14" t="inlineStr">
        <is>
          <t>Priority remediation; senior-management oversight.</t>
        </is>
      </c>
    </row>
    <row r="25">
      <c r="B25" s="19" t="inlineStr">
        <is>
          <t>16–25</t>
        </is>
      </c>
      <c r="C25" s="23" t="inlineStr">
        <is>
          <t>Critical</t>
        </is>
      </c>
      <c r="D25" s="14" t="inlineStr">
        <is>
          <t>Immediate action; executive / board attention; consider pausing activity.</t>
        </is>
      </c>
    </row>
    <row r="27">
      <c r="B27" s="6" t="inlineStr">
        <is>
          <t>D. Control effectiveness (assessed separately for Design and Operating)</t>
        </is>
      </c>
    </row>
    <row r="28">
      <c r="B28" s="11" t="inlineStr">
        <is>
          <t>Rating</t>
        </is>
      </c>
      <c r="C28" s="11" t="inlineStr">
        <is>
          <t>Definition</t>
        </is>
      </c>
      <c r="D28" s="10" t="n"/>
    </row>
    <row r="29">
      <c r="B29" s="24" t="inlineStr">
        <is>
          <t>Effective</t>
        </is>
      </c>
      <c r="C29" s="14" t="inlineStr">
        <is>
          <t>Well designed / operating consistently to mitigate the risk.</t>
        </is>
      </c>
      <c r="D29" s="10" t="n"/>
    </row>
    <row r="30">
      <c r="B30" s="24" t="inlineStr">
        <is>
          <t>Partially Effective</t>
        </is>
      </c>
      <c r="C30" s="14" t="inlineStr">
        <is>
          <t>Addresses the risk in part; material weaknesses remain.</t>
        </is>
      </c>
      <c r="D30" s="10" t="n"/>
    </row>
    <row r="31">
      <c r="B31" s="24" t="inlineStr">
        <is>
          <t>Ineffective</t>
        </is>
      </c>
      <c r="C31" s="14" t="inlineStr">
        <is>
          <t>Present but does not mitigate the risk as intended.</t>
        </is>
      </c>
      <c r="D31" s="10" t="n"/>
    </row>
    <row r="32">
      <c r="B32" s="24" t="inlineStr">
        <is>
          <t>Not Designed / Not Operating</t>
        </is>
      </c>
      <c r="C32" s="14" t="inlineStr">
        <is>
          <t>No control designed, or the intended control is not in operation.</t>
        </is>
      </c>
      <c r="D32" s="10" t="n"/>
    </row>
    <row r="34">
      <c r="B34" s="6" t="inlineStr">
        <is>
          <t>E. Risk appetite &amp; tolerance</t>
        </is>
      </c>
    </row>
    <row r="35" ht="26" customHeight="1">
      <c r="B35" s="25" t="inlineStr">
        <is>
          <t>Overall posture: AVERSE to loss of model control. The organisation has NO appetite for residual risk in the High or Critical band on any Model-Risk/Misalignment or containment-critical risk.</t>
        </is>
      </c>
    </row>
    <row r="36" ht="15" customHeight="1">
      <c r="B36" s="25" t="inlineStr">
        <is>
          <t>Tolerance ceilings (maximum acceptable residual):</t>
        </is>
      </c>
    </row>
    <row r="37" ht="26" customHeight="1">
      <c r="B37" s="7" t="inlineStr">
        <is>
          <t xml:space="preserve">   •  Model Risk / Misalignment and containment-critical Cyber (sandbox, persistence): residual must be LOW (score ≤ 4).</t>
        </is>
      </c>
    </row>
    <row r="38" ht="26" customHeight="1">
      <c r="B38" s="7" t="inlineStr">
        <is>
          <t xml:space="preserve">   •  Other Security, Third-Party, Process, Monitoring and Governance risks: residual must be MODERATE or lower (score ≤ 9).</t>
        </is>
      </c>
    </row>
    <row r="39" ht="26" customHeight="1">
      <c r="B39" s="7" t="inlineStr">
        <is>
          <t>Any residual above the applicable ceiling is a BREACH of appetite and requires a tracked action (see G). Residual is assessed on controls as they actually operate.</t>
        </is>
      </c>
    </row>
    <row r="41">
      <c r="B41" s="6" t="inlineStr">
        <is>
          <t>F. Appetite status &amp; G. Action priority (auto-calculated in the register)</t>
        </is>
      </c>
    </row>
    <row r="42" ht="26" customHeight="1">
      <c r="B42" s="7" t="inlineStr">
        <is>
          <t>Appetite status:  Within appetite (residual ≤ ceiling)  ·  At tolerance (residual = ceiling)  ·  BREACH (residual &gt; ceiling).</t>
        </is>
      </c>
    </row>
    <row r="43" ht="26" customHeight="1">
      <c r="B43" s="7" t="inlineStr">
        <is>
          <t>Action priority for breaches:  P1 – Immediate (residual score ≥ 20)  ·  P2 – High (12–19)  ·  P3 – Medium (5–11).  Within-appetite risks are set to Monitor.</t>
        </is>
      </c>
    </row>
  </sheetData>
  <mergeCells count="12">
    <mergeCell ref="B42:D42"/>
    <mergeCell ref="B36:D36"/>
    <mergeCell ref="C32:D32"/>
    <mergeCell ref="C29:D29"/>
    <mergeCell ref="C30:D30"/>
    <mergeCell ref="B37:D37"/>
    <mergeCell ref="B35:D35"/>
    <mergeCell ref="C28:D28"/>
    <mergeCell ref="B39:D39"/>
    <mergeCell ref="B43:D43"/>
    <mergeCell ref="C31:D31"/>
    <mergeCell ref="B38:D38"/>
  </mergeCells>
  <printOptions horizontalCentered="1"/>
  <pageMargins left="0.3" right="0.3" top="0.4" bottom="0.4"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X20"/>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8" customWidth="1" min="1" max="1"/>
    <col width="20" customWidth="1" min="2" max="2"/>
    <col width="20" customWidth="1" min="3" max="3"/>
    <col width="46" customWidth="1" min="4" max="4"/>
    <col width="6" customWidth="1" min="5" max="5"/>
    <col width="6" customWidth="1" min="6" max="6"/>
    <col width="7" customWidth="1" min="7" max="7"/>
    <col width="9" customWidth="1" min="8" max="8"/>
    <col width="12" customWidth="1" min="9" max="9"/>
    <col width="13" customWidth="1" min="10" max="10"/>
    <col width="13" customWidth="1" min="11" max="11"/>
    <col width="12" customWidth="1" min="12" max="12"/>
    <col width="6" customWidth="1" min="13" max="13"/>
    <col width="6" customWidth="1" min="14" max="14"/>
    <col width="7" customWidth="1" min="15" max="15"/>
    <col width="9" customWidth="1" min="16" max="16"/>
    <col width="13" customWidth="1" min="17" max="17"/>
    <col width="7" customWidth="1" min="18" max="18"/>
    <col width="17" customWidth="1" min="19" max="19"/>
    <col width="15" customWidth="1" min="20" max="20"/>
    <col width="22" customWidth="1" min="21" max="21"/>
    <col width="7" customWidth="1" min="22" max="22"/>
    <col width="8" customWidth="1" min="23" max="23"/>
    <col width="26" customWidth="1" min="24" max="24"/>
  </cols>
  <sheetData>
    <row r="1">
      <c r="A1" s="6" t="inlineStr">
        <is>
          <t>Risk Register  —  [process assessed]</t>
        </is>
      </c>
    </row>
    <row r="2" ht="34" customHeight="1">
      <c r="A2" s="26" t="inlineStr">
        <is>
          <t>Risk ID</t>
        </is>
      </c>
      <c r="B2" s="26" t="inlineStr">
        <is>
          <t>Sub-process / activity</t>
        </is>
      </c>
      <c r="C2" s="26" t="inlineStr">
        <is>
          <t>Risk category (taxonomy)</t>
        </is>
      </c>
      <c r="D2" s="26" t="inlineStr">
        <is>
          <t>Risk event (cause → event → consequence)</t>
        </is>
      </c>
      <c r="E2" s="26" t="inlineStr">
        <is>
          <t>Inh. L</t>
        </is>
      </c>
      <c r="F2" s="26" t="inlineStr">
        <is>
          <t>Inh. I</t>
        </is>
      </c>
      <c r="G2" s="26" t="inlineStr">
        <is>
          <t>Inh. score</t>
        </is>
      </c>
      <c r="H2" s="26" t="inlineStr">
        <is>
          <t>Inh. band</t>
        </is>
      </c>
      <c r="I2" s="26" t="inlineStr">
        <is>
          <t>Key controls</t>
        </is>
      </c>
      <c r="J2" s="26" t="inlineStr">
        <is>
          <t>Ctrl design</t>
        </is>
      </c>
      <c r="K2" s="26" t="inlineStr">
        <is>
          <t>Ctrl operating</t>
        </is>
      </c>
      <c r="L2" s="26" t="inlineStr">
        <is>
          <t>Overall ctrl</t>
        </is>
      </c>
      <c r="M2" s="26" t="inlineStr">
        <is>
          <t>Res. L</t>
        </is>
      </c>
      <c r="N2" s="26" t="inlineStr">
        <is>
          <t>Res. I</t>
        </is>
      </c>
      <c r="O2" s="26" t="inlineStr">
        <is>
          <t>Res. score</t>
        </is>
      </c>
      <c r="P2" s="26" t="inlineStr">
        <is>
          <t>Res. band</t>
        </is>
      </c>
      <c r="Q2" s="26" t="inlineStr">
        <is>
          <t>Appetite (max band)</t>
        </is>
      </c>
      <c r="R2" s="26" t="inlineStr">
        <is>
          <t>Ceiling</t>
        </is>
      </c>
      <c r="S2" s="26" t="inlineStr">
        <is>
          <t>Residual vs appetite</t>
        </is>
      </c>
      <c r="T2" s="26" t="inlineStr">
        <is>
          <t>Action priority</t>
        </is>
      </c>
      <c r="U2" s="26" t="inlineStr">
        <is>
          <t>Risk owner (role)</t>
        </is>
      </c>
      <c r="V2" s="26" t="inlineStr">
        <is>
          <t>KRI ref</t>
        </is>
      </c>
      <c r="W2" s="26" t="inlineStr">
        <is>
          <t>Action ref</t>
        </is>
      </c>
      <c r="X2" s="26" t="inlineStr">
        <is>
          <t>Basis / source</t>
        </is>
      </c>
    </row>
    <row r="3" ht="54" customHeight="1">
      <c r="A3" s="27" t="inlineStr"/>
      <c r="B3" s="14" t="inlineStr"/>
      <c r="C3" s="14" t="inlineStr"/>
      <c r="D3" s="28" t="inlineStr"/>
      <c r="E3" s="29" t="inlineStr"/>
      <c r="F3" s="29" t="inlineStr"/>
      <c r="G3" s="18">
        <f>IF(COUNT(E3:F3)=2,E3*F3,"")</f>
        <v/>
      </c>
      <c r="H3" s="24">
        <f>IF(G3="","",IF(G3&gt;=16,"Critical",IF(G3&gt;=10,"High",IF(G3&gt;=5,"Moderate","Low"))))</f>
        <v/>
      </c>
      <c r="I3" s="14" t="inlineStr"/>
      <c r="J3" s="13" t="inlineStr"/>
      <c r="K3" s="13" t="inlineStr"/>
      <c r="L3" s="14">
        <f>IF(AND(J3="",K3=""),"",IF(OR(J3="Not Designed",J3="Not Implemented",J3="Not Operating",K3="Not Operating"),"Not established",IF(AND(J3="Effective",K3="Effective"),"Effective",IF(OR(K3="Ineffective"),"Ineffective","Partially effective"))))</f>
        <v/>
      </c>
      <c r="M3" s="29" t="inlineStr"/>
      <c r="N3" s="29" t="inlineStr"/>
      <c r="O3" s="18">
        <f>IF(COUNT(M3:N3)=2,M3*N3,"")</f>
        <v/>
      </c>
      <c r="P3" s="24">
        <f>IF(O3="","",IF(O3&gt;=16,"Critical",IF(O3&gt;=10,"High",IF(O3&gt;=5,"Moderate","Low"))))</f>
        <v/>
      </c>
      <c r="Q3" s="30" t="inlineStr"/>
      <c r="R3" s="29" t="inlineStr"/>
      <c r="S3" s="24">
        <f>IF(OR(O3="",R3=""),"",IF(O3&gt;R3,"BREACH",IF(O3=R3,"At tolerance","Within appetite")))</f>
        <v/>
      </c>
      <c r="T3" s="24">
        <f>IF(S3="","",IF(S3="Within appetite","Monitor",IF(O3&gt;=20,"P1 - Immediate",IF(O3&gt;=12,"P2 - High","P3 - Medium"))))</f>
        <v/>
      </c>
      <c r="U3" s="14" t="inlineStr"/>
      <c r="V3" s="31" t="inlineStr"/>
      <c r="W3" s="31" t="inlineStr"/>
      <c r="X3" s="32" t="inlineStr"/>
    </row>
    <row r="4" ht="54" customHeight="1">
      <c r="A4" s="27" t="inlineStr"/>
      <c r="B4" s="14" t="inlineStr"/>
      <c r="C4" s="14" t="inlineStr"/>
      <c r="D4" s="28" t="inlineStr"/>
      <c r="E4" s="29" t="inlineStr"/>
      <c r="F4" s="29" t="inlineStr"/>
      <c r="G4" s="18">
        <f>IF(COUNT(E4:F4)=2,E4*F4,"")</f>
        <v/>
      </c>
      <c r="H4" s="24">
        <f>IF(G4="","",IF(G4&gt;=16,"Critical",IF(G4&gt;=10,"High",IF(G4&gt;=5,"Moderate","Low"))))</f>
        <v/>
      </c>
      <c r="I4" s="14" t="inlineStr"/>
      <c r="J4" s="13" t="inlineStr"/>
      <c r="K4" s="13" t="inlineStr"/>
      <c r="L4" s="14">
        <f>IF(AND(J4="",K4=""),"",IF(OR(J4="Not Designed",J4="Not Implemented",J4="Not Operating",K4="Not Operating"),"Not established",IF(AND(J4="Effective",K4="Effective"),"Effective",IF(OR(K4="Ineffective"),"Ineffective","Partially effective"))))</f>
        <v/>
      </c>
      <c r="M4" s="29" t="inlineStr"/>
      <c r="N4" s="29" t="inlineStr"/>
      <c r="O4" s="18">
        <f>IF(COUNT(M4:N4)=2,M4*N4,"")</f>
        <v/>
      </c>
      <c r="P4" s="24">
        <f>IF(O4="","",IF(O4&gt;=16,"Critical",IF(O4&gt;=10,"High",IF(O4&gt;=5,"Moderate","Low"))))</f>
        <v/>
      </c>
      <c r="Q4" s="30" t="inlineStr"/>
      <c r="R4" s="29" t="inlineStr"/>
      <c r="S4" s="24">
        <f>IF(OR(O4="",R4=""),"",IF(O4&gt;R4,"BREACH",IF(O4=R4,"At tolerance","Within appetite")))</f>
        <v/>
      </c>
      <c r="T4" s="24">
        <f>IF(S4="","",IF(S4="Within appetite","Monitor",IF(O4&gt;=20,"P1 - Immediate",IF(O4&gt;=12,"P2 - High","P3 - Medium"))))</f>
        <v/>
      </c>
      <c r="U4" s="14" t="inlineStr"/>
      <c r="V4" s="31" t="inlineStr"/>
      <c r="W4" s="31" t="inlineStr"/>
      <c r="X4" s="32" t="inlineStr"/>
    </row>
    <row r="5" ht="54" customHeight="1">
      <c r="A5" s="27" t="inlineStr"/>
      <c r="B5" s="14" t="inlineStr"/>
      <c r="C5" s="14" t="inlineStr"/>
      <c r="D5" s="28" t="inlineStr"/>
      <c r="E5" s="29" t="inlineStr"/>
      <c r="F5" s="29" t="inlineStr"/>
      <c r="G5" s="18">
        <f>IF(COUNT(E5:F5)=2,E5*F5,"")</f>
        <v/>
      </c>
      <c r="H5" s="24">
        <f>IF(G5="","",IF(G5&gt;=16,"Critical",IF(G5&gt;=10,"High",IF(G5&gt;=5,"Moderate","Low"))))</f>
        <v/>
      </c>
      <c r="I5" s="14" t="inlineStr"/>
      <c r="J5" s="13" t="inlineStr"/>
      <c r="K5" s="13" t="inlineStr"/>
      <c r="L5" s="14">
        <f>IF(AND(J5="",K5=""),"",IF(OR(J5="Not Designed",J5="Not Implemented",J5="Not Operating",K5="Not Operating"),"Not established",IF(AND(J5="Effective",K5="Effective"),"Effective",IF(OR(K5="Ineffective"),"Ineffective","Partially effective"))))</f>
        <v/>
      </c>
      <c r="M5" s="29" t="inlineStr"/>
      <c r="N5" s="29" t="inlineStr"/>
      <c r="O5" s="18">
        <f>IF(COUNT(M5:N5)=2,M5*N5,"")</f>
        <v/>
      </c>
      <c r="P5" s="24">
        <f>IF(O5="","",IF(O5&gt;=16,"Critical",IF(O5&gt;=10,"High",IF(O5&gt;=5,"Moderate","Low"))))</f>
        <v/>
      </c>
      <c r="Q5" s="30" t="inlineStr"/>
      <c r="R5" s="29" t="inlineStr"/>
      <c r="S5" s="24">
        <f>IF(OR(O5="",R5=""),"",IF(O5&gt;R5,"BREACH",IF(O5=R5,"At tolerance","Within appetite")))</f>
        <v/>
      </c>
      <c r="T5" s="24">
        <f>IF(S5="","",IF(S5="Within appetite","Monitor",IF(O5&gt;=20,"P1 - Immediate",IF(O5&gt;=12,"P2 - High","P3 - Medium"))))</f>
        <v/>
      </c>
      <c r="U5" s="14" t="inlineStr"/>
      <c r="V5" s="31" t="inlineStr"/>
      <c r="W5" s="31" t="inlineStr"/>
      <c r="X5" s="32" t="inlineStr"/>
    </row>
    <row r="6" ht="54" customHeight="1">
      <c r="A6" s="27" t="inlineStr"/>
      <c r="B6" s="14" t="inlineStr"/>
      <c r="C6" s="14" t="inlineStr"/>
      <c r="D6" s="28" t="inlineStr"/>
      <c r="E6" s="29" t="inlineStr"/>
      <c r="F6" s="29" t="inlineStr"/>
      <c r="G6" s="18">
        <f>IF(COUNT(E6:F6)=2,E6*F6,"")</f>
        <v/>
      </c>
      <c r="H6" s="24">
        <f>IF(G6="","",IF(G6&gt;=16,"Critical",IF(G6&gt;=10,"High",IF(G6&gt;=5,"Moderate","Low"))))</f>
        <v/>
      </c>
      <c r="I6" s="14" t="inlineStr"/>
      <c r="J6" s="13" t="inlineStr"/>
      <c r="K6" s="13" t="inlineStr"/>
      <c r="L6" s="14">
        <f>IF(AND(J6="",K6=""),"",IF(OR(J6="Not Designed",J6="Not Implemented",J6="Not Operating",K6="Not Operating"),"Not established",IF(AND(J6="Effective",K6="Effective"),"Effective",IF(OR(K6="Ineffective"),"Ineffective","Partially effective"))))</f>
        <v/>
      </c>
      <c r="M6" s="29" t="inlineStr"/>
      <c r="N6" s="29" t="inlineStr"/>
      <c r="O6" s="18">
        <f>IF(COUNT(M6:N6)=2,M6*N6,"")</f>
        <v/>
      </c>
      <c r="P6" s="24">
        <f>IF(O6="","",IF(O6&gt;=16,"Critical",IF(O6&gt;=10,"High",IF(O6&gt;=5,"Moderate","Low"))))</f>
        <v/>
      </c>
      <c r="Q6" s="30" t="inlineStr"/>
      <c r="R6" s="29" t="inlineStr"/>
      <c r="S6" s="24">
        <f>IF(OR(O6="",R6=""),"",IF(O6&gt;R6,"BREACH",IF(O6=R6,"At tolerance","Within appetite")))</f>
        <v/>
      </c>
      <c r="T6" s="24">
        <f>IF(S6="","",IF(S6="Within appetite","Monitor",IF(O6&gt;=20,"P1 - Immediate",IF(O6&gt;=12,"P2 - High","P3 - Medium"))))</f>
        <v/>
      </c>
      <c r="U6" s="14" t="inlineStr"/>
      <c r="V6" s="31" t="inlineStr"/>
      <c r="W6" s="31" t="inlineStr"/>
      <c r="X6" s="32" t="inlineStr"/>
    </row>
    <row r="7" ht="54" customHeight="1">
      <c r="A7" s="27" t="inlineStr"/>
      <c r="B7" s="14" t="inlineStr"/>
      <c r="C7" s="14" t="inlineStr"/>
      <c r="D7" s="28" t="inlineStr"/>
      <c r="E7" s="29" t="inlineStr"/>
      <c r="F7" s="29" t="inlineStr"/>
      <c r="G7" s="18">
        <f>IF(COUNT(E7:F7)=2,E7*F7,"")</f>
        <v/>
      </c>
      <c r="H7" s="24">
        <f>IF(G7="","",IF(G7&gt;=16,"Critical",IF(G7&gt;=10,"High",IF(G7&gt;=5,"Moderate","Low"))))</f>
        <v/>
      </c>
      <c r="I7" s="14" t="inlineStr"/>
      <c r="J7" s="13" t="inlineStr"/>
      <c r="K7" s="13" t="inlineStr"/>
      <c r="L7" s="14">
        <f>IF(AND(J7="",K7=""),"",IF(OR(J7="Not Designed",J7="Not Implemented",J7="Not Operating",K7="Not Operating"),"Not established",IF(AND(J7="Effective",K7="Effective"),"Effective",IF(OR(K7="Ineffective"),"Ineffective","Partially effective"))))</f>
        <v/>
      </c>
      <c r="M7" s="29" t="inlineStr"/>
      <c r="N7" s="29" t="inlineStr"/>
      <c r="O7" s="18">
        <f>IF(COUNT(M7:N7)=2,M7*N7,"")</f>
        <v/>
      </c>
      <c r="P7" s="24">
        <f>IF(O7="","",IF(O7&gt;=16,"Critical",IF(O7&gt;=10,"High",IF(O7&gt;=5,"Moderate","Low"))))</f>
        <v/>
      </c>
      <c r="Q7" s="30" t="inlineStr"/>
      <c r="R7" s="29" t="inlineStr"/>
      <c r="S7" s="24">
        <f>IF(OR(O7="",R7=""),"",IF(O7&gt;R7,"BREACH",IF(O7=R7,"At tolerance","Within appetite")))</f>
        <v/>
      </c>
      <c r="T7" s="24">
        <f>IF(S7="","",IF(S7="Within appetite","Monitor",IF(O7&gt;=20,"P1 - Immediate",IF(O7&gt;=12,"P2 - High","P3 - Medium"))))</f>
        <v/>
      </c>
      <c r="U7" s="14" t="inlineStr"/>
      <c r="V7" s="31" t="inlineStr"/>
      <c r="W7" s="31" t="inlineStr"/>
      <c r="X7" s="32" t="inlineStr"/>
    </row>
    <row r="8" ht="54" customHeight="1">
      <c r="A8" s="27" t="inlineStr"/>
      <c r="B8" s="14" t="inlineStr"/>
      <c r="C8" s="14" t="inlineStr"/>
      <c r="D8" s="28" t="inlineStr"/>
      <c r="E8" s="29" t="inlineStr"/>
      <c r="F8" s="29" t="inlineStr"/>
      <c r="G8" s="18">
        <f>IF(COUNT(E8:F8)=2,E8*F8,"")</f>
        <v/>
      </c>
      <c r="H8" s="24">
        <f>IF(G8="","",IF(G8&gt;=16,"Critical",IF(G8&gt;=10,"High",IF(G8&gt;=5,"Moderate","Low"))))</f>
        <v/>
      </c>
      <c r="I8" s="14" t="inlineStr"/>
      <c r="J8" s="13" t="inlineStr"/>
      <c r="K8" s="13" t="inlineStr"/>
      <c r="L8" s="14">
        <f>IF(AND(J8="",K8=""),"",IF(OR(J8="Not Designed",J8="Not Implemented",J8="Not Operating",K8="Not Operating"),"Not established",IF(AND(J8="Effective",K8="Effective"),"Effective",IF(OR(K8="Ineffective"),"Ineffective","Partially effective"))))</f>
        <v/>
      </c>
      <c r="M8" s="29" t="inlineStr"/>
      <c r="N8" s="29" t="inlineStr"/>
      <c r="O8" s="18">
        <f>IF(COUNT(M8:N8)=2,M8*N8,"")</f>
        <v/>
      </c>
      <c r="P8" s="24">
        <f>IF(O8="","",IF(O8&gt;=16,"Critical",IF(O8&gt;=10,"High",IF(O8&gt;=5,"Moderate","Low"))))</f>
        <v/>
      </c>
      <c r="Q8" s="30" t="inlineStr"/>
      <c r="R8" s="29" t="inlineStr"/>
      <c r="S8" s="24">
        <f>IF(OR(O8="",R8=""),"",IF(O8&gt;R8,"BREACH",IF(O8=R8,"At tolerance","Within appetite")))</f>
        <v/>
      </c>
      <c r="T8" s="24">
        <f>IF(S8="","",IF(S8="Within appetite","Monitor",IF(O8&gt;=20,"P1 - Immediate",IF(O8&gt;=12,"P2 - High","P3 - Medium"))))</f>
        <v/>
      </c>
      <c r="U8" s="14" t="inlineStr"/>
      <c r="V8" s="31" t="inlineStr"/>
      <c r="W8" s="31" t="inlineStr"/>
      <c r="X8" s="32" t="inlineStr"/>
    </row>
    <row r="9" ht="54" customHeight="1">
      <c r="A9" s="27" t="inlineStr"/>
      <c r="B9" s="14" t="inlineStr"/>
      <c r="C9" s="14" t="inlineStr"/>
      <c r="D9" s="28" t="inlineStr"/>
      <c r="E9" s="29" t="inlineStr"/>
      <c r="F9" s="29" t="inlineStr"/>
      <c r="G9" s="18">
        <f>IF(COUNT(E9:F9)=2,E9*F9,"")</f>
        <v/>
      </c>
      <c r="H9" s="24">
        <f>IF(G9="","",IF(G9&gt;=16,"Critical",IF(G9&gt;=10,"High",IF(G9&gt;=5,"Moderate","Low"))))</f>
        <v/>
      </c>
      <c r="I9" s="14" t="inlineStr"/>
      <c r="J9" s="13" t="inlineStr"/>
      <c r="K9" s="13" t="inlineStr"/>
      <c r="L9" s="14">
        <f>IF(AND(J9="",K9=""),"",IF(OR(J9="Not Designed",J9="Not Implemented",J9="Not Operating",K9="Not Operating"),"Not established",IF(AND(J9="Effective",K9="Effective"),"Effective",IF(OR(K9="Ineffective"),"Ineffective","Partially effective"))))</f>
        <v/>
      </c>
      <c r="M9" s="29" t="inlineStr"/>
      <c r="N9" s="29" t="inlineStr"/>
      <c r="O9" s="18">
        <f>IF(COUNT(M9:N9)=2,M9*N9,"")</f>
        <v/>
      </c>
      <c r="P9" s="24">
        <f>IF(O9="","",IF(O9&gt;=16,"Critical",IF(O9&gt;=10,"High",IF(O9&gt;=5,"Moderate","Low"))))</f>
        <v/>
      </c>
      <c r="Q9" s="30" t="inlineStr"/>
      <c r="R9" s="29" t="inlineStr"/>
      <c r="S9" s="24">
        <f>IF(OR(O9="",R9=""),"",IF(O9&gt;R9,"BREACH",IF(O9=R9,"At tolerance","Within appetite")))</f>
        <v/>
      </c>
      <c r="T9" s="24">
        <f>IF(S9="","",IF(S9="Within appetite","Monitor",IF(O9&gt;=20,"P1 - Immediate",IF(O9&gt;=12,"P2 - High","P3 - Medium"))))</f>
        <v/>
      </c>
      <c r="U9" s="14" t="inlineStr"/>
      <c r="V9" s="31" t="inlineStr"/>
      <c r="W9" s="31" t="inlineStr"/>
      <c r="X9" s="32" t="inlineStr"/>
    </row>
    <row r="10" ht="54" customHeight="1">
      <c r="A10" s="27" t="inlineStr"/>
      <c r="B10" s="14" t="inlineStr"/>
      <c r="C10" s="14" t="inlineStr"/>
      <c r="D10" s="28" t="inlineStr"/>
      <c r="E10" s="29" t="inlineStr"/>
      <c r="F10" s="29" t="inlineStr"/>
      <c r="G10" s="18">
        <f>IF(COUNT(E10:F10)=2,E10*F10,"")</f>
        <v/>
      </c>
      <c r="H10" s="24">
        <f>IF(G10="","",IF(G10&gt;=16,"Critical",IF(G10&gt;=10,"High",IF(G10&gt;=5,"Moderate","Low"))))</f>
        <v/>
      </c>
      <c r="I10" s="14" t="inlineStr"/>
      <c r="J10" s="13" t="inlineStr"/>
      <c r="K10" s="13" t="inlineStr"/>
      <c r="L10" s="14">
        <f>IF(AND(J10="",K10=""),"",IF(OR(J10="Not Designed",J10="Not Implemented",J10="Not Operating",K10="Not Operating"),"Not established",IF(AND(J10="Effective",K10="Effective"),"Effective",IF(OR(K10="Ineffective"),"Ineffective","Partially effective"))))</f>
        <v/>
      </c>
      <c r="M10" s="29" t="inlineStr"/>
      <c r="N10" s="29" t="inlineStr"/>
      <c r="O10" s="18">
        <f>IF(COUNT(M10:N10)=2,M10*N10,"")</f>
        <v/>
      </c>
      <c r="P10" s="24">
        <f>IF(O10="","",IF(O10&gt;=16,"Critical",IF(O10&gt;=10,"High",IF(O10&gt;=5,"Moderate","Low"))))</f>
        <v/>
      </c>
      <c r="Q10" s="30" t="inlineStr"/>
      <c r="R10" s="29" t="inlineStr"/>
      <c r="S10" s="24">
        <f>IF(OR(O10="",R10=""),"",IF(O10&gt;R10,"BREACH",IF(O10=R10,"At tolerance","Within appetite")))</f>
        <v/>
      </c>
      <c r="T10" s="24">
        <f>IF(S10="","",IF(S10="Within appetite","Monitor",IF(O10&gt;=20,"P1 - Immediate",IF(O10&gt;=12,"P2 - High","P3 - Medium"))))</f>
        <v/>
      </c>
      <c r="U10" s="14" t="inlineStr"/>
      <c r="V10" s="31" t="inlineStr"/>
      <c r="W10" s="31" t="inlineStr"/>
      <c r="X10" s="32" t="inlineStr"/>
    </row>
    <row r="11" ht="54" customHeight="1">
      <c r="A11" s="27" t="inlineStr"/>
      <c r="B11" s="14" t="inlineStr"/>
      <c r="C11" s="14" t="inlineStr"/>
      <c r="D11" s="28" t="inlineStr"/>
      <c r="E11" s="29" t="inlineStr"/>
      <c r="F11" s="29" t="inlineStr"/>
      <c r="G11" s="18">
        <f>IF(COUNT(E11:F11)=2,E11*F11,"")</f>
        <v/>
      </c>
      <c r="H11" s="24">
        <f>IF(G11="","",IF(G11&gt;=16,"Critical",IF(G11&gt;=10,"High",IF(G11&gt;=5,"Moderate","Low"))))</f>
        <v/>
      </c>
      <c r="I11" s="14" t="inlineStr"/>
      <c r="J11" s="13" t="inlineStr"/>
      <c r="K11" s="13" t="inlineStr"/>
      <c r="L11" s="14">
        <f>IF(AND(J11="",K11=""),"",IF(OR(J11="Not Designed",J11="Not Implemented",J11="Not Operating",K11="Not Operating"),"Not established",IF(AND(J11="Effective",K11="Effective"),"Effective",IF(OR(K11="Ineffective"),"Ineffective","Partially effective"))))</f>
        <v/>
      </c>
      <c r="M11" s="29" t="inlineStr"/>
      <c r="N11" s="29" t="inlineStr"/>
      <c r="O11" s="18">
        <f>IF(COUNT(M11:N11)=2,M11*N11,"")</f>
        <v/>
      </c>
      <c r="P11" s="24">
        <f>IF(O11="","",IF(O11&gt;=16,"Critical",IF(O11&gt;=10,"High",IF(O11&gt;=5,"Moderate","Low"))))</f>
        <v/>
      </c>
      <c r="Q11" s="30" t="inlineStr"/>
      <c r="R11" s="29" t="inlineStr"/>
      <c r="S11" s="24">
        <f>IF(OR(O11="",R11=""),"",IF(O11&gt;R11,"BREACH",IF(O11=R11,"At tolerance","Within appetite")))</f>
        <v/>
      </c>
      <c r="T11" s="24">
        <f>IF(S11="","",IF(S11="Within appetite","Monitor",IF(O11&gt;=20,"P1 - Immediate",IF(O11&gt;=12,"P2 - High","P3 - Medium"))))</f>
        <v/>
      </c>
      <c r="U11" s="14" t="inlineStr"/>
      <c r="V11" s="31" t="inlineStr"/>
      <c r="W11" s="31" t="inlineStr"/>
      <c r="X11" s="32" t="inlineStr"/>
    </row>
    <row r="12" ht="54" customHeight="1">
      <c r="A12" s="27" t="inlineStr"/>
      <c r="B12" s="14" t="inlineStr"/>
      <c r="C12" s="14" t="inlineStr"/>
      <c r="D12" s="28" t="inlineStr"/>
      <c r="E12" s="29" t="inlineStr"/>
      <c r="F12" s="29" t="inlineStr"/>
      <c r="G12" s="18">
        <f>IF(COUNT(E12:F12)=2,E12*F12,"")</f>
        <v/>
      </c>
      <c r="H12" s="24">
        <f>IF(G12="","",IF(G12&gt;=16,"Critical",IF(G12&gt;=10,"High",IF(G12&gt;=5,"Moderate","Low"))))</f>
        <v/>
      </c>
      <c r="I12" s="14" t="inlineStr"/>
      <c r="J12" s="13" t="inlineStr"/>
      <c r="K12" s="13" t="inlineStr"/>
      <c r="L12" s="14">
        <f>IF(AND(J12="",K12=""),"",IF(OR(J12="Not Designed",J12="Not Implemented",J12="Not Operating",K12="Not Operating"),"Not established",IF(AND(J12="Effective",K12="Effective"),"Effective",IF(OR(K12="Ineffective"),"Ineffective","Partially effective"))))</f>
        <v/>
      </c>
      <c r="M12" s="29" t="inlineStr"/>
      <c r="N12" s="29" t="inlineStr"/>
      <c r="O12" s="18">
        <f>IF(COUNT(M12:N12)=2,M12*N12,"")</f>
        <v/>
      </c>
      <c r="P12" s="24">
        <f>IF(O12="","",IF(O12&gt;=16,"Critical",IF(O12&gt;=10,"High",IF(O12&gt;=5,"Moderate","Low"))))</f>
        <v/>
      </c>
      <c r="Q12" s="30" t="inlineStr"/>
      <c r="R12" s="29" t="inlineStr"/>
      <c r="S12" s="24">
        <f>IF(OR(O12="",R12=""),"",IF(O12&gt;R12,"BREACH",IF(O12=R12,"At tolerance","Within appetite")))</f>
        <v/>
      </c>
      <c r="T12" s="24">
        <f>IF(S12="","",IF(S12="Within appetite","Monitor",IF(O12&gt;=20,"P1 - Immediate",IF(O12&gt;=12,"P2 - High","P3 - Medium"))))</f>
        <v/>
      </c>
      <c r="U12" s="14" t="inlineStr"/>
      <c r="V12" s="31" t="inlineStr"/>
      <c r="W12" s="31" t="inlineStr"/>
      <c r="X12" s="32" t="inlineStr"/>
    </row>
    <row r="13" ht="54" customHeight="1">
      <c r="A13" s="27" t="inlineStr"/>
      <c r="B13" s="14" t="inlineStr"/>
      <c r="C13" s="14" t="inlineStr"/>
      <c r="D13" s="28" t="inlineStr"/>
      <c r="E13" s="29" t="inlineStr"/>
      <c r="F13" s="29" t="inlineStr"/>
      <c r="G13" s="18">
        <f>IF(COUNT(E13:F13)=2,E13*F13,"")</f>
        <v/>
      </c>
      <c r="H13" s="24">
        <f>IF(G13="","",IF(G13&gt;=16,"Critical",IF(G13&gt;=10,"High",IF(G13&gt;=5,"Moderate","Low"))))</f>
        <v/>
      </c>
      <c r="I13" s="14" t="inlineStr"/>
      <c r="J13" s="13" t="inlineStr"/>
      <c r="K13" s="13" t="inlineStr"/>
      <c r="L13" s="14">
        <f>IF(AND(J13="",K13=""),"",IF(OR(J13="Not Designed",J13="Not Implemented",J13="Not Operating",K13="Not Operating"),"Not established",IF(AND(J13="Effective",K13="Effective"),"Effective",IF(OR(K13="Ineffective"),"Ineffective","Partially effective"))))</f>
        <v/>
      </c>
      <c r="M13" s="29" t="inlineStr"/>
      <c r="N13" s="29" t="inlineStr"/>
      <c r="O13" s="18">
        <f>IF(COUNT(M13:N13)=2,M13*N13,"")</f>
        <v/>
      </c>
      <c r="P13" s="24">
        <f>IF(O13="","",IF(O13&gt;=16,"Critical",IF(O13&gt;=10,"High",IF(O13&gt;=5,"Moderate","Low"))))</f>
        <v/>
      </c>
      <c r="Q13" s="30" t="inlineStr"/>
      <c r="R13" s="29" t="inlineStr"/>
      <c r="S13" s="24">
        <f>IF(OR(O13="",R13=""),"",IF(O13&gt;R13,"BREACH",IF(O13=R13,"At tolerance","Within appetite")))</f>
        <v/>
      </c>
      <c r="T13" s="24">
        <f>IF(S13="","",IF(S13="Within appetite","Monitor",IF(O13&gt;=20,"P1 - Immediate",IF(O13&gt;=12,"P2 - High","P3 - Medium"))))</f>
        <v/>
      </c>
      <c r="U13" s="14" t="inlineStr"/>
      <c r="V13" s="31" t="inlineStr"/>
      <c r="W13" s="31" t="inlineStr"/>
      <c r="X13" s="32" t="inlineStr"/>
    </row>
    <row r="14" ht="54" customHeight="1">
      <c r="A14" s="27" t="inlineStr"/>
      <c r="B14" s="14" t="inlineStr"/>
      <c r="C14" s="14" t="inlineStr"/>
      <c r="D14" s="28" t="inlineStr"/>
      <c r="E14" s="29" t="inlineStr"/>
      <c r="F14" s="29" t="inlineStr"/>
      <c r="G14" s="18">
        <f>IF(COUNT(E14:F14)=2,E14*F14,"")</f>
        <v/>
      </c>
      <c r="H14" s="24">
        <f>IF(G14="","",IF(G14&gt;=16,"Critical",IF(G14&gt;=10,"High",IF(G14&gt;=5,"Moderate","Low"))))</f>
        <v/>
      </c>
      <c r="I14" s="14" t="inlineStr"/>
      <c r="J14" s="13" t="inlineStr"/>
      <c r="K14" s="13" t="inlineStr"/>
      <c r="L14" s="14">
        <f>IF(AND(J14="",K14=""),"",IF(OR(J14="Not Designed",J14="Not Implemented",J14="Not Operating",K14="Not Operating"),"Not established",IF(AND(J14="Effective",K14="Effective"),"Effective",IF(OR(K14="Ineffective"),"Ineffective","Partially effective"))))</f>
        <v/>
      </c>
      <c r="M14" s="29" t="inlineStr"/>
      <c r="N14" s="29" t="inlineStr"/>
      <c r="O14" s="18">
        <f>IF(COUNT(M14:N14)=2,M14*N14,"")</f>
        <v/>
      </c>
      <c r="P14" s="24">
        <f>IF(O14="","",IF(O14&gt;=16,"Critical",IF(O14&gt;=10,"High",IF(O14&gt;=5,"Moderate","Low"))))</f>
        <v/>
      </c>
      <c r="Q14" s="30" t="inlineStr"/>
      <c r="R14" s="29" t="inlineStr"/>
      <c r="S14" s="24">
        <f>IF(OR(O14="",R14=""),"",IF(O14&gt;R14,"BREACH",IF(O14=R14,"At tolerance","Within appetite")))</f>
        <v/>
      </c>
      <c r="T14" s="24">
        <f>IF(S14="","",IF(S14="Within appetite","Monitor",IF(O14&gt;=20,"P1 - Immediate",IF(O14&gt;=12,"P2 - High","P3 - Medium"))))</f>
        <v/>
      </c>
      <c r="U14" s="14" t="inlineStr"/>
      <c r="V14" s="31" t="inlineStr"/>
      <c r="W14" s="31" t="inlineStr"/>
      <c r="X14" s="32" t="inlineStr"/>
    </row>
    <row r="15" ht="54" customHeight="1">
      <c r="A15" s="27" t="inlineStr"/>
      <c r="B15" s="14" t="inlineStr"/>
      <c r="C15" s="14" t="inlineStr"/>
      <c r="D15" s="28" t="inlineStr"/>
      <c r="E15" s="29" t="inlineStr"/>
      <c r="F15" s="29" t="inlineStr"/>
      <c r="G15" s="18">
        <f>IF(COUNT(E15:F15)=2,E15*F15,"")</f>
        <v/>
      </c>
      <c r="H15" s="24">
        <f>IF(G15="","",IF(G15&gt;=16,"Critical",IF(G15&gt;=10,"High",IF(G15&gt;=5,"Moderate","Low"))))</f>
        <v/>
      </c>
      <c r="I15" s="14" t="inlineStr"/>
      <c r="J15" s="13" t="inlineStr"/>
      <c r="K15" s="13" t="inlineStr"/>
      <c r="L15" s="14">
        <f>IF(AND(J15="",K15=""),"",IF(OR(J15="Not Designed",J15="Not Implemented",J15="Not Operating",K15="Not Operating"),"Not established",IF(AND(J15="Effective",K15="Effective"),"Effective",IF(OR(K15="Ineffective"),"Ineffective","Partially effective"))))</f>
        <v/>
      </c>
      <c r="M15" s="29" t="inlineStr"/>
      <c r="N15" s="29" t="inlineStr"/>
      <c r="O15" s="18">
        <f>IF(COUNT(M15:N15)=2,M15*N15,"")</f>
        <v/>
      </c>
      <c r="P15" s="24">
        <f>IF(O15="","",IF(O15&gt;=16,"Critical",IF(O15&gt;=10,"High",IF(O15&gt;=5,"Moderate","Low"))))</f>
        <v/>
      </c>
      <c r="Q15" s="30" t="inlineStr"/>
      <c r="R15" s="29" t="inlineStr"/>
      <c r="S15" s="24">
        <f>IF(OR(O15="",R15=""),"",IF(O15&gt;R15,"BREACH",IF(O15=R15,"At tolerance","Within appetite")))</f>
        <v/>
      </c>
      <c r="T15" s="24">
        <f>IF(S15="","",IF(S15="Within appetite","Monitor",IF(O15&gt;=20,"P1 - Immediate",IF(O15&gt;=12,"P2 - High","P3 - Medium"))))</f>
        <v/>
      </c>
      <c r="U15" s="14" t="inlineStr"/>
      <c r="V15" s="31" t="inlineStr"/>
      <c r="W15" s="31" t="inlineStr"/>
      <c r="X15" s="32" t="inlineStr"/>
    </row>
    <row r="16" ht="54" customHeight="1">
      <c r="A16" s="27" t="inlineStr"/>
      <c r="B16" s="14" t="inlineStr"/>
      <c r="C16" s="14" t="inlineStr"/>
      <c r="D16" s="28" t="inlineStr"/>
      <c r="E16" s="29" t="inlineStr"/>
      <c r="F16" s="29" t="inlineStr"/>
      <c r="G16" s="18">
        <f>IF(COUNT(E16:F16)=2,E16*F16,"")</f>
        <v/>
      </c>
      <c r="H16" s="24">
        <f>IF(G16="","",IF(G16&gt;=16,"Critical",IF(G16&gt;=10,"High",IF(G16&gt;=5,"Moderate","Low"))))</f>
        <v/>
      </c>
      <c r="I16" s="14" t="inlineStr"/>
      <c r="J16" s="13" t="inlineStr"/>
      <c r="K16" s="13" t="inlineStr"/>
      <c r="L16" s="14">
        <f>IF(AND(J16="",K16=""),"",IF(OR(J16="Not Designed",J16="Not Implemented",J16="Not Operating",K16="Not Operating"),"Not established",IF(AND(J16="Effective",K16="Effective"),"Effective",IF(OR(K16="Ineffective"),"Ineffective","Partially effective"))))</f>
        <v/>
      </c>
      <c r="M16" s="29" t="inlineStr"/>
      <c r="N16" s="29" t="inlineStr"/>
      <c r="O16" s="18">
        <f>IF(COUNT(M16:N16)=2,M16*N16,"")</f>
        <v/>
      </c>
      <c r="P16" s="24">
        <f>IF(O16="","",IF(O16&gt;=16,"Critical",IF(O16&gt;=10,"High",IF(O16&gt;=5,"Moderate","Low"))))</f>
        <v/>
      </c>
      <c r="Q16" s="30" t="inlineStr"/>
      <c r="R16" s="29" t="inlineStr"/>
      <c r="S16" s="24">
        <f>IF(OR(O16="",R16=""),"",IF(O16&gt;R16,"BREACH",IF(O16=R16,"At tolerance","Within appetite")))</f>
        <v/>
      </c>
      <c r="T16" s="24">
        <f>IF(S16="","",IF(S16="Within appetite","Monitor",IF(O16&gt;=20,"P1 - Immediate",IF(O16&gt;=12,"P2 - High","P3 - Medium"))))</f>
        <v/>
      </c>
      <c r="U16" s="14" t="inlineStr"/>
      <c r="V16" s="31" t="inlineStr"/>
      <c r="W16" s="31" t="inlineStr"/>
      <c r="X16" s="32" t="inlineStr"/>
    </row>
    <row r="17" ht="54" customHeight="1">
      <c r="A17" s="27" t="inlineStr"/>
      <c r="B17" s="14" t="inlineStr"/>
      <c r="C17" s="14" t="inlineStr"/>
      <c r="D17" s="28" t="inlineStr"/>
      <c r="E17" s="29" t="inlineStr"/>
      <c r="F17" s="29" t="inlineStr"/>
      <c r="G17" s="18">
        <f>IF(COUNT(E17:F17)=2,E17*F17,"")</f>
        <v/>
      </c>
      <c r="H17" s="24">
        <f>IF(G17="","",IF(G17&gt;=16,"Critical",IF(G17&gt;=10,"High",IF(G17&gt;=5,"Moderate","Low"))))</f>
        <v/>
      </c>
      <c r="I17" s="14" t="inlineStr"/>
      <c r="J17" s="13" t="inlineStr"/>
      <c r="K17" s="13" t="inlineStr"/>
      <c r="L17" s="14">
        <f>IF(AND(J17="",K17=""),"",IF(OR(J17="Not Designed",J17="Not Implemented",J17="Not Operating",K17="Not Operating"),"Not established",IF(AND(J17="Effective",K17="Effective"),"Effective",IF(OR(K17="Ineffective"),"Ineffective","Partially effective"))))</f>
        <v/>
      </c>
      <c r="M17" s="29" t="inlineStr"/>
      <c r="N17" s="29" t="inlineStr"/>
      <c r="O17" s="18">
        <f>IF(COUNT(M17:N17)=2,M17*N17,"")</f>
        <v/>
      </c>
      <c r="P17" s="24">
        <f>IF(O17="","",IF(O17&gt;=16,"Critical",IF(O17&gt;=10,"High",IF(O17&gt;=5,"Moderate","Low"))))</f>
        <v/>
      </c>
      <c r="Q17" s="30" t="inlineStr"/>
      <c r="R17" s="29" t="inlineStr"/>
      <c r="S17" s="24">
        <f>IF(OR(O17="",R17=""),"",IF(O17&gt;R17,"BREACH",IF(O17=R17,"At tolerance","Within appetite")))</f>
        <v/>
      </c>
      <c r="T17" s="24">
        <f>IF(S17="","",IF(S17="Within appetite","Monitor",IF(O17&gt;=20,"P1 - Immediate",IF(O17&gt;=12,"P2 - High","P3 - Medium"))))</f>
        <v/>
      </c>
      <c r="U17" s="14" t="inlineStr"/>
      <c r="V17" s="31" t="inlineStr"/>
      <c r="W17" s="31" t="inlineStr"/>
      <c r="X17" s="32" t="inlineStr"/>
    </row>
    <row r="18" ht="54" customHeight="1">
      <c r="A18" s="27" t="inlineStr"/>
      <c r="B18" s="14" t="inlineStr"/>
      <c r="C18" s="14" t="inlineStr"/>
      <c r="D18" s="28" t="inlineStr"/>
      <c r="E18" s="29" t="inlineStr"/>
      <c r="F18" s="29" t="inlineStr"/>
      <c r="G18" s="18">
        <f>IF(COUNT(E18:F18)=2,E18*F18,"")</f>
        <v/>
      </c>
      <c r="H18" s="24">
        <f>IF(G18="","",IF(G18&gt;=16,"Critical",IF(G18&gt;=10,"High",IF(G18&gt;=5,"Moderate","Low"))))</f>
        <v/>
      </c>
      <c r="I18" s="14" t="inlineStr"/>
      <c r="J18" s="13" t="inlineStr"/>
      <c r="K18" s="13" t="inlineStr"/>
      <c r="L18" s="14">
        <f>IF(AND(J18="",K18=""),"",IF(OR(J18="Not Designed",J18="Not Implemented",J18="Not Operating",K18="Not Operating"),"Not established",IF(AND(J18="Effective",K18="Effective"),"Effective",IF(OR(K18="Ineffective"),"Ineffective","Partially effective"))))</f>
        <v/>
      </c>
      <c r="M18" s="29" t="inlineStr"/>
      <c r="N18" s="29" t="inlineStr"/>
      <c r="O18" s="18">
        <f>IF(COUNT(M18:N18)=2,M18*N18,"")</f>
        <v/>
      </c>
      <c r="P18" s="24">
        <f>IF(O18="","",IF(O18&gt;=16,"Critical",IF(O18&gt;=10,"High",IF(O18&gt;=5,"Moderate","Low"))))</f>
        <v/>
      </c>
      <c r="Q18" s="30" t="inlineStr"/>
      <c r="R18" s="29" t="inlineStr"/>
      <c r="S18" s="24">
        <f>IF(OR(O18="",R18=""),"",IF(O18&gt;R18,"BREACH",IF(O18=R18,"At tolerance","Within appetite")))</f>
        <v/>
      </c>
      <c r="T18" s="24">
        <f>IF(S18="","",IF(S18="Within appetite","Monitor",IF(O18&gt;=20,"P1 - Immediate",IF(O18&gt;=12,"P2 - High","P3 - Medium"))))</f>
        <v/>
      </c>
      <c r="U18" s="14" t="inlineStr"/>
      <c r="V18" s="31" t="inlineStr"/>
      <c r="W18" s="31" t="inlineStr"/>
      <c r="X18" s="32" t="inlineStr"/>
    </row>
    <row r="19" ht="54" customHeight="1">
      <c r="A19" s="27" t="inlineStr"/>
      <c r="B19" s="14" t="inlineStr"/>
      <c r="C19" s="14" t="inlineStr"/>
      <c r="D19" s="28" t="inlineStr"/>
      <c r="E19" s="29" t="inlineStr"/>
      <c r="F19" s="29" t="inlineStr"/>
      <c r="G19" s="18">
        <f>IF(COUNT(E19:F19)=2,E19*F19,"")</f>
        <v/>
      </c>
      <c r="H19" s="24">
        <f>IF(G19="","",IF(G19&gt;=16,"Critical",IF(G19&gt;=10,"High",IF(G19&gt;=5,"Moderate","Low"))))</f>
        <v/>
      </c>
      <c r="I19" s="14" t="inlineStr"/>
      <c r="J19" s="13" t="inlineStr"/>
      <c r="K19" s="13" t="inlineStr"/>
      <c r="L19" s="14">
        <f>IF(AND(J19="",K19=""),"",IF(OR(J19="Not Designed",J19="Not Implemented",J19="Not Operating",K19="Not Operating"),"Not established",IF(AND(J19="Effective",K19="Effective"),"Effective",IF(OR(K19="Ineffective"),"Ineffective","Partially effective"))))</f>
        <v/>
      </c>
      <c r="M19" s="29" t="inlineStr"/>
      <c r="N19" s="29" t="inlineStr"/>
      <c r="O19" s="18">
        <f>IF(COUNT(M19:N19)=2,M19*N19,"")</f>
        <v/>
      </c>
      <c r="P19" s="24">
        <f>IF(O19="","",IF(O19&gt;=16,"Critical",IF(O19&gt;=10,"High",IF(O19&gt;=5,"Moderate","Low"))))</f>
        <v/>
      </c>
      <c r="Q19" s="30" t="inlineStr"/>
      <c r="R19" s="29" t="inlineStr"/>
      <c r="S19" s="24">
        <f>IF(OR(O19="",R19=""),"",IF(O19&gt;R19,"BREACH",IF(O19=R19,"At tolerance","Within appetite")))</f>
        <v/>
      </c>
      <c r="T19" s="24">
        <f>IF(S19="","",IF(S19="Within appetite","Monitor",IF(O19&gt;=20,"P1 - Immediate",IF(O19&gt;=12,"P2 - High","P3 - Medium"))))</f>
        <v/>
      </c>
      <c r="U19" s="14" t="inlineStr"/>
      <c r="V19" s="31" t="inlineStr"/>
      <c r="W19" s="31" t="inlineStr"/>
      <c r="X19" s="32" t="inlineStr"/>
    </row>
    <row r="20" ht="54" customHeight="1">
      <c r="A20" s="27" t="inlineStr"/>
      <c r="B20" s="14" t="inlineStr"/>
      <c r="C20" s="14" t="inlineStr"/>
      <c r="D20" s="28" t="inlineStr"/>
      <c r="E20" s="29" t="inlineStr"/>
      <c r="F20" s="29" t="inlineStr"/>
      <c r="G20" s="18">
        <f>IF(COUNT(E20:F20)=2,E20*F20,"")</f>
        <v/>
      </c>
      <c r="H20" s="24">
        <f>IF(G20="","",IF(G20&gt;=16,"Critical",IF(G20&gt;=10,"High",IF(G20&gt;=5,"Moderate","Low"))))</f>
        <v/>
      </c>
      <c r="I20" s="14" t="inlineStr"/>
      <c r="J20" s="13" t="inlineStr"/>
      <c r="K20" s="13" t="inlineStr"/>
      <c r="L20" s="14">
        <f>IF(AND(J20="",K20=""),"",IF(OR(J20="Not Designed",J20="Not Implemented",J20="Not Operating",K20="Not Operating"),"Not established",IF(AND(J20="Effective",K20="Effective"),"Effective",IF(OR(K20="Ineffective"),"Ineffective","Partially effective"))))</f>
        <v/>
      </c>
      <c r="M20" s="29" t="inlineStr"/>
      <c r="N20" s="29" t="inlineStr"/>
      <c r="O20" s="18">
        <f>IF(COUNT(M20:N20)=2,M20*N20,"")</f>
        <v/>
      </c>
      <c r="P20" s="24">
        <f>IF(O20="","",IF(O20&gt;=16,"Critical",IF(O20&gt;=10,"High",IF(O20&gt;=5,"Moderate","Low"))))</f>
        <v/>
      </c>
      <c r="Q20" s="30" t="inlineStr"/>
      <c r="R20" s="29" t="inlineStr"/>
      <c r="S20" s="24">
        <f>IF(OR(O20="",R20=""),"",IF(O20&gt;R20,"BREACH",IF(O20=R20,"At tolerance","Within appetite")))</f>
        <v/>
      </c>
      <c r="T20" s="24">
        <f>IF(S20="","",IF(S20="Within appetite","Monitor",IF(O20&gt;=20,"P1 - Immediate",IF(O20&gt;=12,"P2 - High","P3 - Medium"))))</f>
        <v/>
      </c>
      <c r="U20" s="14" t="inlineStr"/>
      <c r="V20" s="31" t="inlineStr"/>
      <c r="W20" s="31" t="inlineStr"/>
      <c r="X20" s="32" t="inlineStr"/>
    </row>
  </sheetData>
  <mergeCells count="1">
    <mergeCell ref="A1:X1"/>
  </mergeCells>
  <conditionalFormatting sqref="H3:H20">
    <cfRule type="cellIs" priority="1" operator="equal" dxfId="0">
      <formula>"Critical"</formula>
    </cfRule>
    <cfRule type="cellIs" priority="2" operator="equal" dxfId="1">
      <formula>"High"</formula>
    </cfRule>
    <cfRule type="cellIs" priority="3" operator="equal" dxfId="2">
      <formula>"Moderate"</formula>
    </cfRule>
    <cfRule type="cellIs" priority="4" operator="equal" dxfId="3">
      <formula>"Low"</formula>
    </cfRule>
  </conditionalFormatting>
  <conditionalFormatting sqref="P3:P20">
    <cfRule type="cellIs" priority="5" operator="equal" dxfId="0">
      <formula>"Critical"</formula>
    </cfRule>
    <cfRule type="cellIs" priority="6" operator="equal" dxfId="1">
      <formula>"High"</formula>
    </cfRule>
    <cfRule type="cellIs" priority="7" operator="equal" dxfId="2">
      <formula>"Moderate"</formula>
    </cfRule>
    <cfRule type="cellIs" priority="8" operator="equal" dxfId="3">
      <formula>"Low"</formula>
    </cfRule>
  </conditionalFormatting>
  <conditionalFormatting sqref="S3:S20">
    <cfRule type="cellIs" priority="9" operator="equal" dxfId="4">
      <formula>"BREACH"</formula>
    </cfRule>
    <cfRule type="cellIs" priority="10" operator="equal" dxfId="5">
      <formula>"At tolerance"</formula>
    </cfRule>
    <cfRule type="cellIs" priority="11" operator="equal" dxfId="6">
      <formula>"Within appetite"</formula>
    </cfRule>
  </conditionalFormatting>
  <conditionalFormatting sqref="T3:T20">
    <cfRule type="expression" priority="12" dxfId="4">
      <formula>ISNUMBER(SEARCH("P1",T3))</formula>
    </cfRule>
    <cfRule type="expression" priority="13" dxfId="7">
      <formula>ISNUMBER(SEARCH("P2",T3))</formula>
    </cfRule>
    <cfRule type="expression" priority="14" dxfId="5">
      <formula>ISNUMBER(SEARCH("P3",T3))</formula>
    </cfRule>
  </conditionalFormatting>
  <dataValidations count="4">
    <dataValidation sqref="E3 E4 E5 E6 E7 E8 E9 E10 E11 E12 E13 E14 E15 E16 E17 E18 E19 E20 F3 F4 F5 F6 F7 F8 F9 F10 F11 F12 F13 F14 F15 F16 F17 F18 F19 F20 M3 M4 M5 M6 M7 M8 M9 M10 M11 M12 M13 M14 M15 M16 M17 M18 M19 M20 N3 N4 N5 N6 N7 N8 N9 N10 N11 N12 N13 N14 N15 N16 N17 N18 N19 N20" showDropDown="0" showInputMessage="0" showErrorMessage="0" allowBlank="1" type="list">
      <formula1>"1,2,3,4,5"</formula1>
    </dataValidation>
    <dataValidation sqref="J3 J4 J5 J6 J7 J8 J9 J10 J11 J12 J13 J14 J15 J16 J17 J18 J19 J20" showDropDown="0" showInputMessage="0" showErrorMessage="0" allowBlank="1" type="list">
      <formula1>"Effective,Partially Effective,Ineffective,Not Designed"</formula1>
    </dataValidation>
    <dataValidation sqref="K3 K4 K5 K6 K7 K8 K9 K10 K11 K12 K13 K14 K15 K16 K17 K18 K19 K20" showDropDown="0" showInputMessage="0" showErrorMessage="0" allowBlank="1" type="list">
      <formula1>"Effective,Partially Effective,Ineffective,Not Operating"</formula1>
    </dataValidation>
    <dataValidation sqref="Q3 Q4 Q5 Q6 Q7 Q8 Q9 Q10 Q11 Q12 Q13 Q14 Q15 Q16 Q17 Q18 Q19 Q20" showDropDown="0" showInputMessage="0" showErrorMessage="0" allowBlank="1" type="list">
      <formula1>"Low,Moderate,High,Critical"</formula1>
    </dataValidation>
  </dataValidations>
  <printOptions horizontalCentered="1"/>
  <pageMargins left="0.3" right="0.3" top="0.4" bottom="0.4"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M20"/>
  <sheetViews>
    <sheetView showGridLines="0" workbookViewId="0">
      <pane ySplit="2" topLeftCell="A3" activePane="bottomLeft" state="frozen"/>
      <selection pane="bottomLeft" activeCell="A1" sqref="A1"/>
    </sheetView>
  </sheetViews>
  <sheetFormatPr baseColWidth="8" defaultRowHeight="15"/>
  <cols>
    <col width="8" customWidth="1" min="1" max="1"/>
    <col width="40" customWidth="1" min="2" max="2"/>
    <col width="12" customWidth="1" min="3" max="3"/>
    <col width="12" customWidth="1" min="4" max="4"/>
    <col width="13" customWidth="1" min="5" max="5"/>
    <col width="6" customWidth="1" min="6" max="6"/>
    <col width="15" customWidth="1" min="7" max="7"/>
    <col width="24" customWidth="1" min="8" max="8"/>
    <col width="14" customWidth="1" min="9" max="9"/>
    <col width="14" customWidth="1" min="10" max="10"/>
    <col width="14" customWidth="1" min="11" max="11"/>
    <col width="42" customWidth="1" min="12" max="12"/>
    <col width="42" customWidth="1" min="13" max="13"/>
  </cols>
  <sheetData>
    <row r="1">
      <c r="A1" s="6" t="inlineStr">
        <is>
          <t>Control Library  —  key controls and their design &amp; operating effectiveness</t>
        </is>
      </c>
    </row>
    <row r="2" ht="30" customHeight="1">
      <c r="A2" s="26" t="inlineStr">
        <is>
          <t>Ctrl ID</t>
        </is>
      </c>
      <c r="B2" s="26" t="inlineStr">
        <is>
          <t>Control objective / description</t>
        </is>
      </c>
      <c r="C2" s="26" t="inlineStr">
        <is>
          <t>Related risks</t>
        </is>
      </c>
      <c r="D2" s="26" t="inlineStr">
        <is>
          <t>Type</t>
        </is>
      </c>
      <c r="E2" s="26" t="inlineStr">
        <is>
          <t>Nature</t>
        </is>
      </c>
      <c r="F2" s="26" t="inlineStr">
        <is>
          <t>Key?</t>
        </is>
      </c>
      <c r="G2" s="26" t="inlineStr">
        <is>
          <t>Frequency</t>
        </is>
      </c>
      <c r="H2" s="26" t="inlineStr">
        <is>
          <t>Control owner (role)</t>
        </is>
      </c>
      <c r="I2" s="26" t="inlineStr">
        <is>
          <t>Design</t>
        </is>
      </c>
      <c r="J2" s="26" t="inlineStr">
        <is>
          <t>Operating</t>
        </is>
      </c>
      <c r="K2" s="26" t="inlineStr">
        <is>
          <t>Overall</t>
        </is>
      </c>
      <c r="L2" s="26" t="inlineStr">
        <is>
          <t>Deficiency note</t>
        </is>
      </c>
      <c r="M2" s="26" t="inlineStr">
        <is>
          <t>Remediation direction</t>
        </is>
      </c>
    </row>
    <row r="3" ht="44" customHeight="1">
      <c r="A3" s="33" t="inlineStr"/>
      <c r="B3" s="14" t="inlineStr"/>
      <c r="C3" s="14" t="inlineStr"/>
      <c r="D3" s="31" t="inlineStr"/>
      <c r="E3" s="31" t="inlineStr"/>
      <c r="F3" s="31" t="inlineStr"/>
      <c r="G3" s="31" t="inlineStr"/>
      <c r="H3" s="14" t="inlineStr"/>
      <c r="I3" s="13" t="inlineStr"/>
      <c r="J3" s="13" t="inlineStr"/>
      <c r="K3" s="14">
        <f>IF(AND(I3="",J3=""),"",IF(OR(I3="Not Designed",I3="Not Operating",J3="Not Operating"),"Not established",IF(AND(I3="Effective",J3="Effective"),"Effective",IF(J3="Ineffective","Ineffective","Partially effective"))))</f>
        <v/>
      </c>
      <c r="L3" s="28" t="inlineStr"/>
      <c r="M3" s="28" t="inlineStr"/>
    </row>
    <row r="4" ht="44" customHeight="1">
      <c r="A4" s="33" t="inlineStr"/>
      <c r="B4" s="14" t="inlineStr"/>
      <c r="C4" s="14" t="inlineStr"/>
      <c r="D4" s="31" t="inlineStr"/>
      <c r="E4" s="31" t="inlineStr"/>
      <c r="F4" s="31" t="inlineStr"/>
      <c r="G4" s="31" t="inlineStr"/>
      <c r="H4" s="14" t="inlineStr"/>
      <c r="I4" s="13" t="inlineStr"/>
      <c r="J4" s="13" t="inlineStr"/>
      <c r="K4" s="14">
        <f>IF(AND(I4="",J4=""),"",IF(OR(I4="Not Designed",I4="Not Operating",J4="Not Operating"),"Not established",IF(AND(I4="Effective",J4="Effective"),"Effective",IF(J4="Ineffective","Ineffective","Partially effective"))))</f>
        <v/>
      </c>
      <c r="L4" s="28" t="inlineStr"/>
      <c r="M4" s="28" t="inlineStr"/>
    </row>
    <row r="5" ht="44" customHeight="1">
      <c r="A5" s="33" t="inlineStr"/>
      <c r="B5" s="14" t="inlineStr"/>
      <c r="C5" s="14" t="inlineStr"/>
      <c r="D5" s="31" t="inlineStr"/>
      <c r="E5" s="31" t="inlineStr"/>
      <c r="F5" s="31" t="inlineStr"/>
      <c r="G5" s="31" t="inlineStr"/>
      <c r="H5" s="14" t="inlineStr"/>
      <c r="I5" s="13" t="inlineStr"/>
      <c r="J5" s="13" t="inlineStr"/>
      <c r="K5" s="14">
        <f>IF(AND(I5="",J5=""),"",IF(OR(I5="Not Designed",I5="Not Operating",J5="Not Operating"),"Not established",IF(AND(I5="Effective",J5="Effective"),"Effective",IF(J5="Ineffective","Ineffective","Partially effective"))))</f>
        <v/>
      </c>
      <c r="L5" s="28" t="inlineStr"/>
      <c r="M5" s="28" t="inlineStr"/>
    </row>
    <row r="6" ht="44" customHeight="1">
      <c r="A6" s="33" t="inlineStr"/>
      <c r="B6" s="14" t="inlineStr"/>
      <c r="C6" s="14" t="inlineStr"/>
      <c r="D6" s="31" t="inlineStr"/>
      <c r="E6" s="31" t="inlineStr"/>
      <c r="F6" s="31" t="inlineStr"/>
      <c r="G6" s="31" t="inlineStr"/>
      <c r="H6" s="14" t="inlineStr"/>
      <c r="I6" s="13" t="inlineStr"/>
      <c r="J6" s="13" t="inlineStr"/>
      <c r="K6" s="14">
        <f>IF(AND(I6="",J6=""),"",IF(OR(I6="Not Designed",I6="Not Operating",J6="Not Operating"),"Not established",IF(AND(I6="Effective",J6="Effective"),"Effective",IF(J6="Ineffective","Ineffective","Partially effective"))))</f>
        <v/>
      </c>
      <c r="L6" s="28" t="inlineStr"/>
      <c r="M6" s="28" t="inlineStr"/>
    </row>
    <row r="7" ht="44" customHeight="1">
      <c r="A7" s="33" t="inlineStr"/>
      <c r="B7" s="14" t="inlineStr"/>
      <c r="C7" s="14" t="inlineStr"/>
      <c r="D7" s="31" t="inlineStr"/>
      <c r="E7" s="31" t="inlineStr"/>
      <c r="F7" s="31" t="inlineStr"/>
      <c r="G7" s="31" t="inlineStr"/>
      <c r="H7" s="14" t="inlineStr"/>
      <c r="I7" s="13" t="inlineStr"/>
      <c r="J7" s="13" t="inlineStr"/>
      <c r="K7" s="14">
        <f>IF(AND(I7="",J7=""),"",IF(OR(I7="Not Designed",I7="Not Operating",J7="Not Operating"),"Not established",IF(AND(I7="Effective",J7="Effective"),"Effective",IF(J7="Ineffective","Ineffective","Partially effective"))))</f>
        <v/>
      </c>
      <c r="L7" s="28" t="inlineStr"/>
      <c r="M7" s="28" t="inlineStr"/>
    </row>
    <row r="8" ht="44" customHeight="1">
      <c r="A8" s="33" t="inlineStr"/>
      <c r="B8" s="14" t="inlineStr"/>
      <c r="C8" s="14" t="inlineStr"/>
      <c r="D8" s="31" t="inlineStr"/>
      <c r="E8" s="31" t="inlineStr"/>
      <c r="F8" s="31" t="inlineStr"/>
      <c r="G8" s="31" t="inlineStr"/>
      <c r="H8" s="14" t="inlineStr"/>
      <c r="I8" s="13" t="inlineStr"/>
      <c r="J8" s="13" t="inlineStr"/>
      <c r="K8" s="14">
        <f>IF(AND(I8="",J8=""),"",IF(OR(I8="Not Designed",I8="Not Operating",J8="Not Operating"),"Not established",IF(AND(I8="Effective",J8="Effective"),"Effective",IF(J8="Ineffective","Ineffective","Partially effective"))))</f>
        <v/>
      </c>
      <c r="L8" s="28" t="inlineStr"/>
      <c r="M8" s="28" t="inlineStr"/>
    </row>
    <row r="9" ht="44" customHeight="1">
      <c r="A9" s="33" t="inlineStr"/>
      <c r="B9" s="14" t="inlineStr"/>
      <c r="C9" s="14" t="inlineStr"/>
      <c r="D9" s="31" t="inlineStr"/>
      <c r="E9" s="31" t="inlineStr"/>
      <c r="F9" s="31" t="inlineStr"/>
      <c r="G9" s="31" t="inlineStr"/>
      <c r="H9" s="14" t="inlineStr"/>
      <c r="I9" s="13" t="inlineStr"/>
      <c r="J9" s="13" t="inlineStr"/>
      <c r="K9" s="14">
        <f>IF(AND(I9="",J9=""),"",IF(OR(I9="Not Designed",I9="Not Operating",J9="Not Operating"),"Not established",IF(AND(I9="Effective",J9="Effective"),"Effective",IF(J9="Ineffective","Ineffective","Partially effective"))))</f>
        <v/>
      </c>
      <c r="L9" s="28" t="inlineStr"/>
      <c r="M9" s="28" t="inlineStr"/>
    </row>
    <row r="10" ht="44" customHeight="1">
      <c r="A10" s="33" t="inlineStr"/>
      <c r="B10" s="14" t="inlineStr"/>
      <c r="C10" s="14" t="inlineStr"/>
      <c r="D10" s="31" t="inlineStr"/>
      <c r="E10" s="31" t="inlineStr"/>
      <c r="F10" s="31" t="inlineStr"/>
      <c r="G10" s="31" t="inlineStr"/>
      <c r="H10" s="14" t="inlineStr"/>
      <c r="I10" s="13" t="inlineStr"/>
      <c r="J10" s="13" t="inlineStr"/>
      <c r="K10" s="14">
        <f>IF(AND(I10="",J10=""),"",IF(OR(I10="Not Designed",I10="Not Operating",J10="Not Operating"),"Not established",IF(AND(I10="Effective",J10="Effective"),"Effective",IF(J10="Ineffective","Ineffective","Partially effective"))))</f>
        <v/>
      </c>
      <c r="L10" s="28" t="inlineStr"/>
      <c r="M10" s="28" t="inlineStr"/>
    </row>
    <row r="11" ht="44" customHeight="1">
      <c r="A11" s="33" t="inlineStr"/>
      <c r="B11" s="14" t="inlineStr"/>
      <c r="C11" s="14" t="inlineStr"/>
      <c r="D11" s="31" t="inlineStr"/>
      <c r="E11" s="31" t="inlineStr"/>
      <c r="F11" s="31" t="inlineStr"/>
      <c r="G11" s="31" t="inlineStr"/>
      <c r="H11" s="14" t="inlineStr"/>
      <c r="I11" s="13" t="inlineStr"/>
      <c r="J11" s="13" t="inlineStr"/>
      <c r="K11" s="14">
        <f>IF(AND(I11="",J11=""),"",IF(OR(I11="Not Designed",I11="Not Operating",J11="Not Operating"),"Not established",IF(AND(I11="Effective",J11="Effective"),"Effective",IF(J11="Ineffective","Ineffective","Partially effective"))))</f>
        <v/>
      </c>
      <c r="L11" s="28" t="inlineStr"/>
      <c r="M11" s="28" t="inlineStr"/>
    </row>
    <row r="12" ht="44" customHeight="1">
      <c r="A12" s="33" t="inlineStr"/>
      <c r="B12" s="14" t="inlineStr"/>
      <c r="C12" s="14" t="inlineStr"/>
      <c r="D12" s="31" t="inlineStr"/>
      <c r="E12" s="31" t="inlineStr"/>
      <c r="F12" s="31" t="inlineStr"/>
      <c r="G12" s="31" t="inlineStr"/>
      <c r="H12" s="14" t="inlineStr"/>
      <c r="I12" s="13" t="inlineStr"/>
      <c r="J12" s="13" t="inlineStr"/>
      <c r="K12" s="14">
        <f>IF(AND(I12="",J12=""),"",IF(OR(I12="Not Designed",I12="Not Operating",J12="Not Operating"),"Not established",IF(AND(I12="Effective",J12="Effective"),"Effective",IF(J12="Ineffective","Ineffective","Partially effective"))))</f>
        <v/>
      </c>
      <c r="L12" s="28" t="inlineStr"/>
      <c r="M12" s="28" t="inlineStr"/>
    </row>
    <row r="13" ht="44" customHeight="1">
      <c r="A13" s="33" t="inlineStr"/>
      <c r="B13" s="14" t="inlineStr"/>
      <c r="C13" s="14" t="inlineStr"/>
      <c r="D13" s="31" t="inlineStr"/>
      <c r="E13" s="31" t="inlineStr"/>
      <c r="F13" s="31" t="inlineStr"/>
      <c r="G13" s="31" t="inlineStr"/>
      <c r="H13" s="14" t="inlineStr"/>
      <c r="I13" s="13" t="inlineStr"/>
      <c r="J13" s="13" t="inlineStr"/>
      <c r="K13" s="14">
        <f>IF(AND(I13="",J13=""),"",IF(OR(I13="Not Designed",I13="Not Operating",J13="Not Operating"),"Not established",IF(AND(I13="Effective",J13="Effective"),"Effective",IF(J13="Ineffective","Ineffective","Partially effective"))))</f>
        <v/>
      </c>
      <c r="L13" s="28" t="inlineStr"/>
      <c r="M13" s="28" t="inlineStr"/>
    </row>
    <row r="14" ht="44" customHeight="1">
      <c r="A14" s="33" t="inlineStr"/>
      <c r="B14" s="14" t="inlineStr"/>
      <c r="C14" s="14" t="inlineStr"/>
      <c r="D14" s="31" t="inlineStr"/>
      <c r="E14" s="31" t="inlineStr"/>
      <c r="F14" s="31" t="inlineStr"/>
      <c r="G14" s="31" t="inlineStr"/>
      <c r="H14" s="14" t="inlineStr"/>
      <c r="I14" s="13" t="inlineStr"/>
      <c r="J14" s="13" t="inlineStr"/>
      <c r="K14" s="14">
        <f>IF(AND(I14="",J14=""),"",IF(OR(I14="Not Designed",I14="Not Operating",J14="Not Operating"),"Not established",IF(AND(I14="Effective",J14="Effective"),"Effective",IF(J14="Ineffective","Ineffective","Partially effective"))))</f>
        <v/>
      </c>
      <c r="L14" s="28" t="inlineStr"/>
      <c r="M14" s="28" t="inlineStr"/>
    </row>
    <row r="15" ht="44" customHeight="1">
      <c r="A15" s="33" t="inlineStr"/>
      <c r="B15" s="14" t="inlineStr"/>
      <c r="C15" s="14" t="inlineStr"/>
      <c r="D15" s="31" t="inlineStr"/>
      <c r="E15" s="31" t="inlineStr"/>
      <c r="F15" s="31" t="inlineStr"/>
      <c r="G15" s="31" t="inlineStr"/>
      <c r="H15" s="14" t="inlineStr"/>
      <c r="I15" s="13" t="inlineStr"/>
      <c r="J15" s="13" t="inlineStr"/>
      <c r="K15" s="14">
        <f>IF(AND(I15="",J15=""),"",IF(OR(I15="Not Designed",I15="Not Operating",J15="Not Operating"),"Not established",IF(AND(I15="Effective",J15="Effective"),"Effective",IF(J15="Ineffective","Ineffective","Partially effective"))))</f>
        <v/>
      </c>
      <c r="L15" s="28" t="inlineStr"/>
      <c r="M15" s="28" t="inlineStr"/>
    </row>
    <row r="16" ht="44" customHeight="1">
      <c r="A16" s="33" t="inlineStr"/>
      <c r="B16" s="14" t="inlineStr"/>
      <c r="C16" s="14" t="inlineStr"/>
      <c r="D16" s="31" t="inlineStr"/>
      <c r="E16" s="31" t="inlineStr"/>
      <c r="F16" s="31" t="inlineStr"/>
      <c r="G16" s="31" t="inlineStr"/>
      <c r="H16" s="14" t="inlineStr"/>
      <c r="I16" s="13" t="inlineStr"/>
      <c r="J16" s="13" t="inlineStr"/>
      <c r="K16" s="14">
        <f>IF(AND(I16="",J16=""),"",IF(OR(I16="Not Designed",I16="Not Operating",J16="Not Operating"),"Not established",IF(AND(I16="Effective",J16="Effective"),"Effective",IF(J16="Ineffective","Ineffective","Partially effective"))))</f>
        <v/>
      </c>
      <c r="L16" s="28" t="inlineStr"/>
      <c r="M16" s="28" t="inlineStr"/>
    </row>
    <row r="17" ht="44" customHeight="1">
      <c r="A17" s="33" t="inlineStr"/>
      <c r="B17" s="14" t="inlineStr"/>
      <c r="C17" s="14" t="inlineStr"/>
      <c r="D17" s="31" t="inlineStr"/>
      <c r="E17" s="31" t="inlineStr"/>
      <c r="F17" s="31" t="inlineStr"/>
      <c r="G17" s="31" t="inlineStr"/>
      <c r="H17" s="14" t="inlineStr"/>
      <c r="I17" s="13" t="inlineStr"/>
      <c r="J17" s="13" t="inlineStr"/>
      <c r="K17" s="14">
        <f>IF(AND(I17="",J17=""),"",IF(OR(I17="Not Designed",I17="Not Operating",J17="Not Operating"),"Not established",IF(AND(I17="Effective",J17="Effective"),"Effective",IF(J17="Ineffective","Ineffective","Partially effective"))))</f>
        <v/>
      </c>
      <c r="L17" s="28" t="inlineStr"/>
      <c r="M17" s="28" t="inlineStr"/>
    </row>
    <row r="18" ht="44" customHeight="1">
      <c r="A18" s="33" t="inlineStr"/>
      <c r="B18" s="14" t="inlineStr"/>
      <c r="C18" s="14" t="inlineStr"/>
      <c r="D18" s="31" t="inlineStr"/>
      <c r="E18" s="31" t="inlineStr"/>
      <c r="F18" s="31" t="inlineStr"/>
      <c r="G18" s="31" t="inlineStr"/>
      <c r="H18" s="14" t="inlineStr"/>
      <c r="I18" s="13" t="inlineStr"/>
      <c r="J18" s="13" t="inlineStr"/>
      <c r="K18" s="14">
        <f>IF(AND(I18="",J18=""),"",IF(OR(I18="Not Designed",I18="Not Operating",J18="Not Operating"),"Not established",IF(AND(I18="Effective",J18="Effective"),"Effective",IF(J18="Ineffective","Ineffective","Partially effective"))))</f>
        <v/>
      </c>
      <c r="L18" s="28" t="inlineStr"/>
      <c r="M18" s="28" t="inlineStr"/>
    </row>
    <row r="19" ht="44" customHeight="1">
      <c r="A19" s="33" t="inlineStr"/>
      <c r="B19" s="14" t="inlineStr"/>
      <c r="C19" s="14" t="inlineStr"/>
      <c r="D19" s="31" t="inlineStr"/>
      <c r="E19" s="31" t="inlineStr"/>
      <c r="F19" s="31" t="inlineStr"/>
      <c r="G19" s="31" t="inlineStr"/>
      <c r="H19" s="14" t="inlineStr"/>
      <c r="I19" s="13" t="inlineStr"/>
      <c r="J19" s="13" t="inlineStr"/>
      <c r="K19" s="14">
        <f>IF(AND(I19="",J19=""),"",IF(OR(I19="Not Designed",I19="Not Operating",J19="Not Operating"),"Not established",IF(AND(I19="Effective",J19="Effective"),"Effective",IF(J19="Ineffective","Ineffective","Partially effective"))))</f>
        <v/>
      </c>
      <c r="L19" s="28" t="inlineStr"/>
      <c r="M19" s="28" t="inlineStr"/>
    </row>
    <row r="20" ht="44" customHeight="1">
      <c r="A20" s="33" t="inlineStr"/>
      <c r="B20" s="14" t="inlineStr"/>
      <c r="C20" s="14" t="inlineStr"/>
      <c r="D20" s="31" t="inlineStr"/>
      <c r="E20" s="31" t="inlineStr"/>
      <c r="F20" s="31" t="inlineStr"/>
      <c r="G20" s="31" t="inlineStr"/>
      <c r="H20" s="14" t="inlineStr"/>
      <c r="I20" s="13" t="inlineStr"/>
      <c r="J20" s="13" t="inlineStr"/>
      <c r="K20" s="14">
        <f>IF(AND(I20="",J20=""),"",IF(OR(I20="Not Designed",I20="Not Operating",J20="Not Operating"),"Not established",IF(AND(I20="Effective",J20="Effective"),"Effective",IF(J20="Ineffective","Ineffective","Partially effective"))))</f>
        <v/>
      </c>
      <c r="L20" s="28" t="inlineStr"/>
      <c r="M20" s="28" t="inlineStr"/>
    </row>
  </sheetData>
  <mergeCells count="1">
    <mergeCell ref="A1:M1"/>
  </mergeCells>
  <conditionalFormatting sqref="I3:I20">
    <cfRule type="cellIs" priority="1" operator="equal" dxfId="6">
      <formula>"Effective"</formula>
    </cfRule>
    <cfRule type="cellIs" priority="2" operator="equal" dxfId="5">
      <formula>"Partially Effective"</formula>
    </cfRule>
    <cfRule type="cellIs" priority="3" operator="equal" dxfId="4">
      <formula>"Ineffective"</formula>
    </cfRule>
    <cfRule type="expression" priority="4" dxfId="4">
      <formula>ISNUMBER(SEARCH("Not",I3))</formula>
    </cfRule>
  </conditionalFormatting>
  <conditionalFormatting sqref="J3:J20">
    <cfRule type="cellIs" priority="5" operator="equal" dxfId="6">
      <formula>"Effective"</formula>
    </cfRule>
    <cfRule type="cellIs" priority="6" operator="equal" dxfId="5">
      <formula>"Partially Effective"</formula>
    </cfRule>
    <cfRule type="cellIs" priority="7" operator="equal" dxfId="4">
      <formula>"Ineffective"</formula>
    </cfRule>
    <cfRule type="expression" priority="8" dxfId="4">
      <formula>ISNUMBER(SEARCH("Not",J3))</formula>
    </cfRule>
  </conditionalFormatting>
  <conditionalFormatting sqref="K3:K20">
    <cfRule type="cellIs" priority="9" operator="equal" dxfId="6">
      <formula>"Effective"</formula>
    </cfRule>
    <cfRule type="cellIs" priority="10" operator="equal" dxfId="5">
      <formula>"Partially Effective"</formula>
    </cfRule>
    <cfRule type="cellIs" priority="11" operator="equal" dxfId="4">
      <formula>"Ineffective"</formula>
    </cfRule>
    <cfRule type="expression" priority="12" dxfId="4">
      <formula>ISNUMBER(SEARCH("Not",K3))</formula>
    </cfRule>
  </conditionalFormatting>
  <dataValidations count="4">
    <dataValidation sqref="I3 I4 I5 I6 I7 I8 I9 I10 I11 I12 I13 I14 I15 I16 I17 I18 I19 I20" showDropDown="0" showInputMessage="0" showErrorMessage="0" allowBlank="1" type="list">
      <formula1>"Effective,Partially Effective,Ineffective,Not Designed"</formula1>
    </dataValidation>
    <dataValidation sqref="J3 J4 J5 J6 J7 J8 J9 J10 J11 J12 J13 J14 J15 J16 J17 J18 J19 J20" showDropDown="0" showInputMessage="0" showErrorMessage="0" allowBlank="1" type="list">
      <formula1>"Effective,Partially Effective,Ineffective,Not Operating"</formula1>
    </dataValidation>
    <dataValidation sqref="F3 F4 F5 F6 F7 F8 F9 F10 F11 F12 F13 F14 F15 F16 F17 F18 F19 F20" showDropDown="0" showInputMessage="0" showErrorMessage="0" allowBlank="1" type="list">
      <formula1>"Y,N"</formula1>
    </dataValidation>
    <dataValidation sqref="D3 D4 D5 D6 D7 D8 D9 D10 D11 D12 D13 D14 D15 D16 D17 D18 D19 D20" showDropDown="0" showInputMessage="0" showErrorMessage="0" allowBlank="1" type="list">
      <formula1>"Preventive,Detective,Corrective"</formula1>
    </dataValidation>
  </dataValidations>
  <printOptions horizontalCentered="1"/>
  <pageMargins left="0.3" right="0.3" top="0.4" bottom="0.4"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I20"/>
  <sheetViews>
    <sheetView showGridLines="0" workbookViewId="0">
      <pane ySplit="2" topLeftCell="A3" activePane="bottomLeft" state="frozen"/>
      <selection pane="bottomLeft" activeCell="A1" sqref="A1"/>
    </sheetView>
  </sheetViews>
  <sheetFormatPr baseColWidth="8" defaultRowHeight="15"/>
  <cols>
    <col width="9" customWidth="1" min="1" max="1"/>
    <col width="16" customWidth="1" min="2" max="2"/>
    <col width="40" customWidth="1" min="3" max="3"/>
    <col width="44" customWidth="1" min="4" max="4"/>
    <col width="24" customWidth="1" min="5" max="5"/>
    <col width="11" customWidth="1" min="6" max="6"/>
    <col width="14" customWidth="1" min="7" max="7"/>
    <col width="24" customWidth="1" min="8" max="8"/>
    <col width="13" customWidth="1" min="9" max="9"/>
  </cols>
  <sheetData>
    <row r="1">
      <c r="A1" s="6" t="inlineStr">
        <is>
          <t>Action Plan  —  remediation of control gaps (priority derived from residual vs appetite)</t>
        </is>
      </c>
    </row>
    <row r="2">
      <c r="A2" s="26" t="inlineStr">
        <is>
          <t>Action ID</t>
        </is>
      </c>
      <c r="B2" s="26" t="inlineStr">
        <is>
          <t>Addresses (risk / gap)</t>
        </is>
      </c>
      <c r="C2" s="26" t="inlineStr">
        <is>
          <t>Finding (control gap)</t>
        </is>
      </c>
      <c r="D2" s="26" t="inlineStr">
        <is>
          <t>Action</t>
        </is>
      </c>
      <c r="E2" s="26" t="inlineStr">
        <is>
          <t>Owner (role)</t>
        </is>
      </c>
      <c r="F2" s="26" t="inlineStr">
        <is>
          <t>Priority</t>
        </is>
      </c>
      <c r="G2" s="26" t="inlineStr">
        <is>
          <t>Target window</t>
        </is>
      </c>
      <c r="H2" s="26" t="inlineStr">
        <is>
          <t>Status</t>
        </is>
      </c>
      <c r="I2" s="26" t="inlineStr">
        <is>
          <t>Target residual</t>
        </is>
      </c>
    </row>
    <row r="3" ht="40" customHeight="1">
      <c r="A3" s="33" t="inlineStr"/>
      <c r="B3" s="14" t="inlineStr"/>
      <c r="C3" s="14" t="inlineStr"/>
      <c r="D3" s="14" t="inlineStr"/>
      <c r="E3" s="14" t="inlineStr"/>
      <c r="F3" s="31" t="inlineStr"/>
      <c r="G3" s="31" t="inlineStr"/>
      <c r="H3" s="13" t="inlineStr"/>
      <c r="I3" s="30" t="inlineStr"/>
    </row>
    <row r="4" ht="40" customHeight="1">
      <c r="A4" s="33" t="inlineStr"/>
      <c r="B4" s="14" t="inlineStr"/>
      <c r="C4" s="14" t="inlineStr"/>
      <c r="D4" s="14" t="inlineStr"/>
      <c r="E4" s="14" t="inlineStr"/>
      <c r="F4" s="31" t="inlineStr"/>
      <c r="G4" s="31" t="inlineStr"/>
      <c r="H4" s="13" t="inlineStr"/>
      <c r="I4" s="30" t="inlineStr"/>
    </row>
    <row r="5" ht="40" customHeight="1">
      <c r="A5" s="33" t="inlineStr"/>
      <c r="B5" s="14" t="inlineStr"/>
      <c r="C5" s="14" t="inlineStr"/>
      <c r="D5" s="14" t="inlineStr"/>
      <c r="E5" s="14" t="inlineStr"/>
      <c r="F5" s="31" t="inlineStr"/>
      <c r="G5" s="31" t="inlineStr"/>
      <c r="H5" s="13" t="inlineStr"/>
      <c r="I5" s="30" t="inlineStr"/>
    </row>
    <row r="6" ht="40" customHeight="1">
      <c r="A6" s="33" t="inlineStr"/>
      <c r="B6" s="14" t="inlineStr"/>
      <c r="C6" s="14" t="inlineStr"/>
      <c r="D6" s="14" t="inlineStr"/>
      <c r="E6" s="14" t="inlineStr"/>
      <c r="F6" s="31" t="inlineStr"/>
      <c r="G6" s="31" t="inlineStr"/>
      <c r="H6" s="13" t="inlineStr"/>
      <c r="I6" s="30" t="inlineStr"/>
    </row>
    <row r="7" ht="40" customHeight="1">
      <c r="A7" s="33" t="inlineStr"/>
      <c r="B7" s="14" t="inlineStr"/>
      <c r="C7" s="14" t="inlineStr"/>
      <c r="D7" s="14" t="inlineStr"/>
      <c r="E7" s="14" t="inlineStr"/>
      <c r="F7" s="31" t="inlineStr"/>
      <c r="G7" s="31" t="inlineStr"/>
      <c r="H7" s="13" t="inlineStr"/>
      <c r="I7" s="30" t="inlineStr"/>
    </row>
    <row r="8" ht="40" customHeight="1">
      <c r="A8" s="33" t="inlineStr"/>
      <c r="B8" s="14" t="inlineStr"/>
      <c r="C8" s="14" t="inlineStr"/>
      <c r="D8" s="14" t="inlineStr"/>
      <c r="E8" s="14" t="inlineStr"/>
      <c r="F8" s="31" t="inlineStr"/>
      <c r="G8" s="31" t="inlineStr"/>
      <c r="H8" s="13" t="inlineStr"/>
      <c r="I8" s="30" t="inlineStr"/>
    </row>
    <row r="9" ht="40" customHeight="1">
      <c r="A9" s="33" t="inlineStr"/>
      <c r="B9" s="14" t="inlineStr"/>
      <c r="C9" s="14" t="inlineStr"/>
      <c r="D9" s="14" t="inlineStr"/>
      <c r="E9" s="14" t="inlineStr"/>
      <c r="F9" s="31" t="inlineStr"/>
      <c r="G9" s="31" t="inlineStr"/>
      <c r="H9" s="13" t="inlineStr"/>
      <c r="I9" s="30" t="inlineStr"/>
    </row>
    <row r="10" ht="40" customHeight="1">
      <c r="A10" s="33" t="inlineStr"/>
      <c r="B10" s="14" t="inlineStr"/>
      <c r="C10" s="14" t="inlineStr"/>
      <c r="D10" s="14" t="inlineStr"/>
      <c r="E10" s="14" t="inlineStr"/>
      <c r="F10" s="31" t="inlineStr"/>
      <c r="G10" s="31" t="inlineStr"/>
      <c r="H10" s="13" t="inlineStr"/>
      <c r="I10" s="30" t="inlineStr"/>
    </row>
    <row r="11" ht="40" customHeight="1">
      <c r="A11" s="33" t="inlineStr"/>
      <c r="B11" s="14" t="inlineStr"/>
      <c r="C11" s="14" t="inlineStr"/>
      <c r="D11" s="14" t="inlineStr"/>
      <c r="E11" s="14" t="inlineStr"/>
      <c r="F11" s="31" t="inlineStr"/>
      <c r="G11" s="31" t="inlineStr"/>
      <c r="H11" s="13" t="inlineStr"/>
      <c r="I11" s="30" t="inlineStr"/>
    </row>
    <row r="12" ht="40" customHeight="1">
      <c r="A12" s="33" t="inlineStr"/>
      <c r="B12" s="14" t="inlineStr"/>
      <c r="C12" s="14" t="inlineStr"/>
      <c r="D12" s="14" t="inlineStr"/>
      <c r="E12" s="14" t="inlineStr"/>
      <c r="F12" s="31" t="inlineStr"/>
      <c r="G12" s="31" t="inlineStr"/>
      <c r="H12" s="13" t="inlineStr"/>
      <c r="I12" s="30" t="inlineStr"/>
    </row>
    <row r="13" ht="40" customHeight="1">
      <c r="A13" s="33" t="inlineStr"/>
      <c r="B13" s="14" t="inlineStr"/>
      <c r="C13" s="14" t="inlineStr"/>
      <c r="D13" s="14" t="inlineStr"/>
      <c r="E13" s="14" t="inlineStr"/>
      <c r="F13" s="31" t="inlineStr"/>
      <c r="G13" s="31" t="inlineStr"/>
      <c r="H13" s="13" t="inlineStr"/>
      <c r="I13" s="30" t="inlineStr"/>
    </row>
    <row r="14" ht="40" customHeight="1">
      <c r="A14" s="33" t="inlineStr"/>
      <c r="B14" s="14" t="inlineStr"/>
      <c r="C14" s="14" t="inlineStr"/>
      <c r="D14" s="14" t="inlineStr"/>
      <c r="E14" s="14" t="inlineStr"/>
      <c r="F14" s="31" t="inlineStr"/>
      <c r="G14" s="31" t="inlineStr"/>
      <c r="H14" s="13" t="inlineStr"/>
      <c r="I14" s="30" t="inlineStr"/>
    </row>
    <row r="15" ht="40" customHeight="1">
      <c r="A15" s="33" t="inlineStr"/>
      <c r="B15" s="14" t="inlineStr"/>
      <c r="C15" s="14" t="inlineStr"/>
      <c r="D15" s="14" t="inlineStr"/>
      <c r="E15" s="14" t="inlineStr"/>
      <c r="F15" s="31" t="inlineStr"/>
      <c r="G15" s="31" t="inlineStr"/>
      <c r="H15" s="13" t="inlineStr"/>
      <c r="I15" s="30" t="inlineStr"/>
    </row>
    <row r="16" ht="40" customHeight="1">
      <c r="A16" s="33" t="inlineStr"/>
      <c r="B16" s="14" t="inlineStr"/>
      <c r="C16" s="14" t="inlineStr"/>
      <c r="D16" s="14" t="inlineStr"/>
      <c r="E16" s="14" t="inlineStr"/>
      <c r="F16" s="31" t="inlineStr"/>
      <c r="G16" s="31" t="inlineStr"/>
      <c r="H16" s="13" t="inlineStr"/>
      <c r="I16" s="30" t="inlineStr"/>
    </row>
    <row r="17" ht="40" customHeight="1">
      <c r="A17" s="33" t="inlineStr"/>
      <c r="B17" s="14" t="inlineStr"/>
      <c r="C17" s="14" t="inlineStr"/>
      <c r="D17" s="14" t="inlineStr"/>
      <c r="E17" s="14" t="inlineStr"/>
      <c r="F17" s="31" t="inlineStr"/>
      <c r="G17" s="31" t="inlineStr"/>
      <c r="H17" s="13" t="inlineStr"/>
      <c r="I17" s="30" t="inlineStr"/>
    </row>
    <row r="18" ht="40" customHeight="1">
      <c r="A18" s="33" t="inlineStr"/>
      <c r="B18" s="14" t="inlineStr"/>
      <c r="C18" s="14" t="inlineStr"/>
      <c r="D18" s="14" t="inlineStr"/>
      <c r="E18" s="14" t="inlineStr"/>
      <c r="F18" s="31" t="inlineStr"/>
      <c r="G18" s="31" t="inlineStr"/>
      <c r="H18" s="13" t="inlineStr"/>
      <c r="I18" s="30" t="inlineStr"/>
    </row>
    <row r="19" ht="40" customHeight="1">
      <c r="A19" s="33" t="inlineStr"/>
      <c r="B19" s="14" t="inlineStr"/>
      <c r="C19" s="14" t="inlineStr"/>
      <c r="D19" s="14" t="inlineStr"/>
      <c r="E19" s="14" t="inlineStr"/>
      <c r="F19" s="31" t="inlineStr"/>
      <c r="G19" s="31" t="inlineStr"/>
      <c r="H19" s="13" t="inlineStr"/>
      <c r="I19" s="30" t="inlineStr"/>
    </row>
    <row r="20" ht="40" customHeight="1">
      <c r="A20" s="33" t="inlineStr"/>
      <c r="B20" s="14" t="inlineStr"/>
      <c r="C20" s="14" t="inlineStr"/>
      <c r="D20" s="14" t="inlineStr"/>
      <c r="E20" s="14" t="inlineStr"/>
      <c r="F20" s="31" t="inlineStr"/>
      <c r="G20" s="31" t="inlineStr"/>
      <c r="H20" s="13" t="inlineStr"/>
      <c r="I20" s="30" t="inlineStr"/>
    </row>
  </sheetData>
  <mergeCells count="1">
    <mergeCell ref="A1:I1"/>
  </mergeCells>
  <conditionalFormatting sqref="F3:F20">
    <cfRule type="expression" priority="1" dxfId="4">
      <formula>ISNUMBER(SEARCH("P1",F3))</formula>
    </cfRule>
    <cfRule type="expression" priority="2" dxfId="7">
      <formula>ISNUMBER(SEARCH("P2",F3))</formula>
    </cfRule>
  </conditionalFormatting>
  <conditionalFormatting sqref="I3:I20">
    <cfRule type="cellIs" priority="3" operator="equal" dxfId="0">
      <formula>"Critical"</formula>
    </cfRule>
    <cfRule type="cellIs" priority="4" operator="equal" dxfId="1">
      <formula>"High"</formula>
    </cfRule>
    <cfRule type="cellIs" priority="5" operator="equal" dxfId="2">
      <formula>"Moderate"</formula>
    </cfRule>
    <cfRule type="cellIs" priority="6" operator="equal" dxfId="3">
      <formula>"Low"</formula>
    </cfRule>
  </conditionalFormatting>
  <printOptions horizontalCentered="1"/>
  <pageMargins left="0.3" right="0.3" top="0.4" bottom="0.4"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H20"/>
  <sheetViews>
    <sheetView showGridLines="0" workbookViewId="0">
      <pane ySplit="2" topLeftCell="A3" activePane="bottomLeft" state="frozen"/>
      <selection pane="bottomLeft" activeCell="A1" sqref="A1"/>
    </sheetView>
  </sheetViews>
  <sheetFormatPr baseColWidth="8" defaultRowHeight="15"/>
  <cols>
    <col width="7" customWidth="1" min="1" max="1"/>
    <col width="34" customWidth="1" min="2" max="2"/>
    <col width="8" customWidth="1" min="3" max="3"/>
    <col width="40" customWidth="1" min="4" max="4"/>
    <col width="30" customWidth="1" min="5" max="5"/>
    <col width="26" customWidth="1" min="6" max="6"/>
    <col width="24" customWidth="1" min="7" max="7"/>
    <col width="14" customWidth="1" min="8" max="8"/>
  </cols>
  <sheetData>
    <row r="1">
      <c r="A1" s="6" t="inlineStr">
        <is>
          <t>Key Risk &amp; Control Indicators (KRI / KCI)  —  targets illustrative</t>
        </is>
      </c>
    </row>
    <row r="2">
      <c r="A2" s="26" t="inlineStr">
        <is>
          <t>ID</t>
        </is>
      </c>
      <c r="B2" s="26" t="inlineStr">
        <is>
          <t>Indicator</t>
        </is>
      </c>
      <c r="C2" s="26" t="inlineStr">
        <is>
          <t>Type</t>
        </is>
      </c>
      <c r="D2" s="26" t="inlineStr">
        <is>
          <t>Definition / measure</t>
        </is>
      </c>
      <c r="E2" s="26" t="inlineStr">
        <is>
          <t>Threshold / appetite (target)</t>
        </is>
      </c>
      <c r="F2" s="26" t="inlineStr">
        <is>
          <t>Current status (illustrative)</t>
        </is>
      </c>
      <c r="G2" s="26" t="inlineStr">
        <is>
          <t>Owner (role)</t>
        </is>
      </c>
      <c r="H2" s="26" t="inlineStr">
        <is>
          <t>Related risks</t>
        </is>
      </c>
    </row>
    <row r="3" ht="34" customHeight="1">
      <c r="A3" s="33" t="inlineStr"/>
      <c r="B3" s="14" t="inlineStr"/>
      <c r="C3" s="31" t="inlineStr"/>
      <c r="D3" s="14" t="inlineStr"/>
      <c r="E3" s="14" t="inlineStr"/>
      <c r="F3" s="13" t="inlineStr"/>
      <c r="G3" s="14" t="inlineStr"/>
      <c r="H3" s="14" t="inlineStr"/>
    </row>
    <row r="4" ht="34" customHeight="1">
      <c r="A4" s="33" t="inlineStr"/>
      <c r="B4" s="14" t="inlineStr"/>
      <c r="C4" s="31" t="inlineStr"/>
      <c r="D4" s="14" t="inlineStr"/>
      <c r="E4" s="14" t="inlineStr"/>
      <c r="F4" s="13" t="inlineStr"/>
      <c r="G4" s="14" t="inlineStr"/>
      <c r="H4" s="14" t="inlineStr"/>
    </row>
    <row r="5" ht="34" customHeight="1">
      <c r="A5" s="33" t="inlineStr"/>
      <c r="B5" s="14" t="inlineStr"/>
      <c r="C5" s="31" t="inlineStr"/>
      <c r="D5" s="14" t="inlineStr"/>
      <c r="E5" s="14" t="inlineStr"/>
      <c r="F5" s="13" t="inlineStr"/>
      <c r="G5" s="14" t="inlineStr"/>
      <c r="H5" s="14" t="inlineStr"/>
    </row>
    <row r="6" ht="34" customHeight="1">
      <c r="A6" s="33" t="inlineStr"/>
      <c r="B6" s="14" t="inlineStr"/>
      <c r="C6" s="31" t="inlineStr"/>
      <c r="D6" s="14" t="inlineStr"/>
      <c r="E6" s="14" t="inlineStr"/>
      <c r="F6" s="13" t="inlineStr"/>
      <c r="G6" s="14" t="inlineStr"/>
      <c r="H6" s="14" t="inlineStr"/>
    </row>
    <row r="7" ht="34" customHeight="1">
      <c r="A7" s="33" t="inlineStr"/>
      <c r="B7" s="14" t="inlineStr"/>
      <c r="C7" s="31" t="inlineStr"/>
      <c r="D7" s="14" t="inlineStr"/>
      <c r="E7" s="14" t="inlineStr"/>
      <c r="F7" s="13" t="inlineStr"/>
      <c r="G7" s="14" t="inlineStr"/>
      <c r="H7" s="14" t="inlineStr"/>
    </row>
    <row r="8" ht="34" customHeight="1">
      <c r="A8" s="33" t="inlineStr"/>
      <c r="B8" s="14" t="inlineStr"/>
      <c r="C8" s="31" t="inlineStr"/>
      <c r="D8" s="14" t="inlineStr"/>
      <c r="E8" s="14" t="inlineStr"/>
      <c r="F8" s="13" t="inlineStr"/>
      <c r="G8" s="14" t="inlineStr"/>
      <c r="H8" s="14" t="inlineStr"/>
    </row>
    <row r="9" ht="34" customHeight="1">
      <c r="A9" s="33" t="inlineStr"/>
      <c r="B9" s="14" t="inlineStr"/>
      <c r="C9" s="31" t="inlineStr"/>
      <c r="D9" s="14" t="inlineStr"/>
      <c r="E9" s="14" t="inlineStr"/>
      <c r="F9" s="13" t="inlineStr"/>
      <c r="G9" s="14" t="inlineStr"/>
      <c r="H9" s="14" t="inlineStr"/>
    </row>
    <row r="10" ht="34" customHeight="1">
      <c r="A10" s="33" t="inlineStr"/>
      <c r="B10" s="14" t="inlineStr"/>
      <c r="C10" s="31" t="inlineStr"/>
      <c r="D10" s="14" t="inlineStr"/>
      <c r="E10" s="14" t="inlineStr"/>
      <c r="F10" s="13" t="inlineStr"/>
      <c r="G10" s="14" t="inlineStr"/>
      <c r="H10" s="14" t="inlineStr"/>
    </row>
    <row r="11" ht="34" customHeight="1">
      <c r="A11" s="33" t="inlineStr"/>
      <c r="B11" s="14" t="inlineStr"/>
      <c r="C11" s="31" t="inlineStr"/>
      <c r="D11" s="14" t="inlineStr"/>
      <c r="E11" s="14" t="inlineStr"/>
      <c r="F11" s="13" t="inlineStr"/>
      <c r="G11" s="14" t="inlineStr"/>
      <c r="H11" s="14" t="inlineStr"/>
    </row>
    <row r="12" ht="34" customHeight="1">
      <c r="A12" s="33" t="inlineStr"/>
      <c r="B12" s="14" t="inlineStr"/>
      <c r="C12" s="31" t="inlineStr"/>
      <c r="D12" s="14" t="inlineStr"/>
      <c r="E12" s="14" t="inlineStr"/>
      <c r="F12" s="13" t="inlineStr"/>
      <c r="G12" s="14" t="inlineStr"/>
      <c r="H12" s="14" t="inlineStr"/>
    </row>
    <row r="13" ht="34" customHeight="1">
      <c r="A13" s="33" t="inlineStr"/>
      <c r="B13" s="14" t="inlineStr"/>
      <c r="C13" s="31" t="inlineStr"/>
      <c r="D13" s="14" t="inlineStr"/>
      <c r="E13" s="14" t="inlineStr"/>
      <c r="F13" s="13" t="inlineStr"/>
      <c r="G13" s="14" t="inlineStr"/>
      <c r="H13" s="14" t="inlineStr"/>
    </row>
    <row r="14" ht="34" customHeight="1">
      <c r="A14" s="33" t="inlineStr"/>
      <c r="B14" s="14" t="inlineStr"/>
      <c r="C14" s="31" t="inlineStr"/>
      <c r="D14" s="14" t="inlineStr"/>
      <c r="E14" s="14" t="inlineStr"/>
      <c r="F14" s="13" t="inlineStr"/>
      <c r="G14" s="14" t="inlineStr"/>
      <c r="H14" s="14" t="inlineStr"/>
    </row>
    <row r="15" ht="34" customHeight="1">
      <c r="A15" s="33" t="inlineStr"/>
      <c r="B15" s="14" t="inlineStr"/>
      <c r="C15" s="31" t="inlineStr"/>
      <c r="D15" s="14" t="inlineStr"/>
      <c r="E15" s="14" t="inlineStr"/>
      <c r="F15" s="13" t="inlineStr"/>
      <c r="G15" s="14" t="inlineStr"/>
      <c r="H15" s="14" t="inlineStr"/>
    </row>
    <row r="16" ht="34" customHeight="1">
      <c r="A16" s="33" t="inlineStr"/>
      <c r="B16" s="14" t="inlineStr"/>
      <c r="C16" s="31" t="inlineStr"/>
      <c r="D16" s="14" t="inlineStr"/>
      <c r="E16" s="14" t="inlineStr"/>
      <c r="F16" s="13" t="inlineStr"/>
      <c r="G16" s="14" t="inlineStr"/>
      <c r="H16" s="14" t="inlineStr"/>
    </row>
    <row r="17" ht="34" customHeight="1">
      <c r="A17" s="33" t="inlineStr"/>
      <c r="B17" s="14" t="inlineStr"/>
      <c r="C17" s="31" t="inlineStr"/>
      <c r="D17" s="14" t="inlineStr"/>
      <c r="E17" s="14" t="inlineStr"/>
      <c r="F17" s="13" t="inlineStr"/>
      <c r="G17" s="14" t="inlineStr"/>
      <c r="H17" s="14" t="inlineStr"/>
    </row>
    <row r="18" ht="34" customHeight="1">
      <c r="A18" s="33" t="inlineStr"/>
      <c r="B18" s="14" t="inlineStr"/>
      <c r="C18" s="31" t="inlineStr"/>
      <c r="D18" s="14" t="inlineStr"/>
      <c r="E18" s="14" t="inlineStr"/>
      <c r="F18" s="13" t="inlineStr"/>
      <c r="G18" s="14" t="inlineStr"/>
      <c r="H18" s="14" t="inlineStr"/>
    </row>
    <row r="19" ht="34" customHeight="1">
      <c r="A19" s="33" t="inlineStr"/>
      <c r="B19" s="14" t="inlineStr"/>
      <c r="C19" s="31" t="inlineStr"/>
      <c r="D19" s="14" t="inlineStr"/>
      <c r="E19" s="14" t="inlineStr"/>
      <c r="F19" s="13" t="inlineStr"/>
      <c r="G19" s="14" t="inlineStr"/>
      <c r="H19" s="14" t="inlineStr"/>
    </row>
    <row r="20" ht="34" customHeight="1">
      <c r="A20" s="33" t="inlineStr"/>
      <c r="B20" s="14" t="inlineStr"/>
      <c r="C20" s="31" t="inlineStr"/>
      <c r="D20" s="14" t="inlineStr"/>
      <c r="E20" s="14" t="inlineStr"/>
      <c r="F20" s="13" t="inlineStr"/>
      <c r="G20" s="14" t="inlineStr"/>
      <c r="H20" s="14" t="inlineStr"/>
    </row>
  </sheetData>
  <mergeCells count="1">
    <mergeCell ref="A1:H1"/>
  </mergeCells>
  <printOptions horizontalCentered="1"/>
  <pageMargins left="0.3" right="0.3" top="0.4" bottom="0.4"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B2:G30"/>
  <sheetViews>
    <sheetView showGridLines="0" workbookViewId="0">
      <selection activeCell="A1" sqref="A1"/>
    </sheetView>
  </sheetViews>
  <sheetFormatPr baseColWidth="8" defaultRowHeight="15"/>
  <cols>
    <col width="3" customWidth="1" min="1" max="1"/>
    <col width="26" customWidth="1" min="2" max="2"/>
    <col width="12" customWidth="1" min="3" max="3"/>
    <col width="12" customWidth="1" min="4" max="4"/>
    <col width="12" customWidth="1" min="5" max="5"/>
    <col width="12" customWidth="1" min="6" max="6"/>
    <col width="12" customWidth="1" min="7" max="7"/>
    <col width="4" customWidth="1" min="8" max="8"/>
  </cols>
  <sheetData>
    <row r="2">
      <c r="B2" s="16" t="inlineStr">
        <is>
          <t>Risk Profile Summary</t>
        </is>
      </c>
    </row>
    <row r="4">
      <c r="B4" s="34" t="inlineStr">
        <is>
          <t>Auto-calculated from the Risk Register.</t>
        </is>
      </c>
    </row>
    <row r="6">
      <c r="B6" s="6" t="inlineStr">
        <is>
          <t>Count by band</t>
        </is>
      </c>
    </row>
    <row r="7">
      <c r="B7" s="35" t="inlineStr">
        <is>
          <t>Band</t>
        </is>
      </c>
      <c r="C7" s="36" t="inlineStr">
        <is>
          <t>Inherent</t>
        </is>
      </c>
      <c r="D7" s="36" t="inlineStr">
        <is>
          <t>Residual</t>
        </is>
      </c>
    </row>
    <row r="8">
      <c r="B8" s="37" t="inlineStr">
        <is>
          <t>Critical</t>
        </is>
      </c>
      <c r="C8" s="19">
        <f>COUNTIF('3. Risk Register'!H:H,"Critical")</f>
        <v/>
      </c>
      <c r="D8" s="19">
        <f>COUNTIF('3. Risk Register'!P:P,"Critical")</f>
        <v/>
      </c>
    </row>
    <row r="9">
      <c r="B9" s="38" t="inlineStr">
        <is>
          <t>High</t>
        </is>
      </c>
      <c r="C9" s="19">
        <f>COUNTIF('3. Risk Register'!H:H,"High")</f>
        <v/>
      </c>
      <c r="D9" s="19">
        <f>COUNTIF('3. Risk Register'!P:P,"High")</f>
        <v/>
      </c>
    </row>
    <row r="10">
      <c r="B10" s="39" t="inlineStr">
        <is>
          <t>Moderate</t>
        </is>
      </c>
      <c r="C10" s="19">
        <f>COUNTIF('3. Risk Register'!H:H,"Moderate")</f>
        <v/>
      </c>
      <c r="D10" s="19">
        <f>COUNTIF('3. Risk Register'!P:P,"Moderate")</f>
        <v/>
      </c>
    </row>
    <row r="11">
      <c r="B11" s="40" t="inlineStr">
        <is>
          <t>Low</t>
        </is>
      </c>
      <c r="C11" s="19">
        <f>COUNTIF('3. Risk Register'!H:H,"Low")</f>
        <v/>
      </c>
      <c r="D11" s="19">
        <f>COUNTIF('3. Risk Register'!P:P,"Low")</f>
        <v/>
      </c>
    </row>
    <row r="12">
      <c r="B12" s="41" t="inlineStr">
        <is>
          <t>Total</t>
        </is>
      </c>
      <c r="C12" s="18">
        <f>SUM(C8:C11)</f>
        <v/>
      </c>
      <c r="D12" s="18">
        <f>SUM(D8:D11)</f>
        <v/>
      </c>
    </row>
    <row r="14">
      <c r="B14" s="6" t="inlineStr">
        <is>
          <t>Appetite &amp; priority</t>
        </is>
      </c>
    </row>
    <row r="15">
      <c r="B15" s="42" t="inlineStr">
        <is>
          <t>Risks breaching appetite</t>
        </is>
      </c>
      <c r="C15" s="18">
        <f>COUNTIF('3. Risk Register'!S:S,"BREACH")</f>
        <v/>
      </c>
      <c r="D15" s="43" t="n"/>
    </row>
    <row r="16">
      <c r="B16" s="44" t="inlineStr">
        <is>
          <t>Within appetite</t>
        </is>
      </c>
      <c r="C16" s="18">
        <f>COUNTIF('3. Risk Register'!S:S,"Within appetite")</f>
        <v/>
      </c>
      <c r="D16" s="43" t="n"/>
    </row>
    <row r="17">
      <c r="B17" s="42" t="inlineStr">
        <is>
          <t>P1 – Immediate actions</t>
        </is>
      </c>
      <c r="C17" s="18">
        <f>COUNTIF('3. Risk Register'!T:T,"P1 - Immediate")</f>
        <v/>
      </c>
      <c r="D17" s="43" t="n"/>
    </row>
    <row r="18">
      <c r="B18" s="45" t="inlineStr">
        <is>
          <t>P2 – High actions</t>
        </is>
      </c>
      <c r="C18" s="18">
        <f>COUNTIF('3. Risk Register'!T:T,"P2 - High")</f>
        <v/>
      </c>
      <c r="D18" s="43" t="n"/>
    </row>
    <row r="19">
      <c r="B19" s="46" t="inlineStr">
        <is>
          <t>P3 – Medium actions</t>
        </is>
      </c>
      <c r="C19" s="18">
        <f>COUNTIF('3. Risk Register'!T:T,"P3 - Medium")</f>
        <v/>
      </c>
      <c r="D19" s="43" t="n"/>
    </row>
    <row r="22">
      <c r="B22" s="6" t="inlineStr">
        <is>
          <t>Residual risk heat map (count of risks)</t>
        </is>
      </c>
    </row>
    <row r="23">
      <c r="B23" s="47" t="inlineStr">
        <is>
          <t>Impact ↓  /  Likelihood →</t>
        </is>
      </c>
      <c r="C23" s="36" t="n">
        <v>1</v>
      </c>
      <c r="D23" s="36" t="n">
        <v>2</v>
      </c>
      <c r="E23" s="36" t="n">
        <v>3</v>
      </c>
      <c r="F23" s="36" t="n">
        <v>4</v>
      </c>
      <c r="G23" s="36" t="n">
        <v>5</v>
      </c>
    </row>
    <row r="24">
      <c r="B24" s="36" t="n">
        <v>5</v>
      </c>
      <c r="C24" s="48">
        <f>COUNTIFS('3. Risk Register'!$M:$M,1,'3. Risk Register'!$N:$N,5)</f>
        <v/>
      </c>
      <c r="D24" s="49">
        <f>COUNTIFS('3. Risk Register'!$M:$M,2,'3. Risk Register'!$N:$N,5)</f>
        <v/>
      </c>
      <c r="E24" s="49">
        <f>COUNTIFS('3. Risk Register'!$M:$M,3,'3. Risk Register'!$N:$N,5)</f>
        <v/>
      </c>
      <c r="F24" s="50">
        <f>COUNTIFS('3. Risk Register'!$M:$M,4,'3. Risk Register'!$N:$N,5)</f>
        <v/>
      </c>
      <c r="G24" s="50">
        <f>COUNTIFS('3. Risk Register'!$M:$M,5,'3. Risk Register'!$N:$N,5)</f>
        <v/>
      </c>
    </row>
    <row r="25">
      <c r="B25" s="36" t="n">
        <v>4</v>
      </c>
      <c r="C25" s="51">
        <f>COUNTIFS('3. Risk Register'!$M:$M,1,'3. Risk Register'!$N:$N,4)</f>
        <v/>
      </c>
      <c r="D25" s="48">
        <f>COUNTIFS('3. Risk Register'!$M:$M,2,'3. Risk Register'!$N:$N,4)</f>
        <v/>
      </c>
      <c r="E25" s="49">
        <f>COUNTIFS('3. Risk Register'!$M:$M,3,'3. Risk Register'!$N:$N,4)</f>
        <v/>
      </c>
      <c r="F25" s="50">
        <f>COUNTIFS('3. Risk Register'!$M:$M,4,'3. Risk Register'!$N:$N,4)</f>
        <v/>
      </c>
      <c r="G25" s="50">
        <f>COUNTIFS('3. Risk Register'!$M:$M,5,'3. Risk Register'!$N:$N,4)</f>
        <v/>
      </c>
    </row>
    <row r="26">
      <c r="B26" s="36" t="n">
        <v>3</v>
      </c>
      <c r="C26" s="51">
        <f>COUNTIFS('3. Risk Register'!$M:$M,1,'3. Risk Register'!$N:$N,3)</f>
        <v/>
      </c>
      <c r="D26" s="48">
        <f>COUNTIFS('3. Risk Register'!$M:$M,2,'3. Risk Register'!$N:$N,3)</f>
        <v/>
      </c>
      <c r="E26" s="48">
        <f>COUNTIFS('3. Risk Register'!$M:$M,3,'3. Risk Register'!$N:$N,3)</f>
        <v/>
      </c>
      <c r="F26" s="49">
        <f>COUNTIFS('3. Risk Register'!$M:$M,4,'3. Risk Register'!$N:$N,3)</f>
        <v/>
      </c>
      <c r="G26" s="49">
        <f>COUNTIFS('3. Risk Register'!$M:$M,5,'3. Risk Register'!$N:$N,3)</f>
        <v/>
      </c>
    </row>
    <row r="27">
      <c r="B27" s="36" t="n">
        <v>2</v>
      </c>
      <c r="C27" s="51">
        <f>COUNTIFS('3. Risk Register'!$M:$M,1,'3. Risk Register'!$N:$N,2)</f>
        <v/>
      </c>
      <c r="D27" s="51">
        <f>COUNTIFS('3. Risk Register'!$M:$M,2,'3. Risk Register'!$N:$N,2)</f>
        <v/>
      </c>
      <c r="E27" s="48">
        <f>COUNTIFS('3. Risk Register'!$M:$M,3,'3. Risk Register'!$N:$N,2)</f>
        <v/>
      </c>
      <c r="F27" s="48">
        <f>COUNTIFS('3. Risk Register'!$M:$M,4,'3. Risk Register'!$N:$N,2)</f>
        <v/>
      </c>
      <c r="G27" s="49">
        <f>COUNTIFS('3. Risk Register'!$M:$M,5,'3. Risk Register'!$N:$N,2)</f>
        <v/>
      </c>
    </row>
    <row r="28">
      <c r="B28" s="36" t="n">
        <v>1</v>
      </c>
      <c r="C28" s="51">
        <f>COUNTIFS('3. Risk Register'!$M:$M,1,'3. Risk Register'!$N:$N,1)</f>
        <v/>
      </c>
      <c r="D28" s="51">
        <f>COUNTIFS('3. Risk Register'!$M:$M,2,'3. Risk Register'!$N:$N,1)</f>
        <v/>
      </c>
      <c r="E28" s="51">
        <f>COUNTIFS('3. Risk Register'!$M:$M,3,'3. Risk Register'!$N:$N,1)</f>
        <v/>
      </c>
      <c r="F28" s="51">
        <f>COUNTIFS('3. Risk Register'!$M:$M,4,'3. Risk Register'!$N:$N,1)</f>
        <v/>
      </c>
      <c r="G28" s="48">
        <f>COUNTIFS('3. Risk Register'!$M:$M,5,'3. Risk Register'!$N:$N,1)</f>
        <v/>
      </c>
    </row>
    <row r="30">
      <c r="B30" s="47" t="inlineStr">
        <is>
          <t>Cells shaded by band (L×I). Populated from residual Likelihood/Impact in the register.</t>
        </is>
      </c>
    </row>
  </sheetData>
  <printOptions horizontalCentered="1"/>
  <pageMargins left="0.3" right="0.3" top="0.4" bottom="0.4"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2026-09-01T17:19:07Z</dcterms:created>
  <dcterms:modified xmlns:dcterms="http://purl.org/dc/terms/" xmlns:xsi="http://www.w3.org/2001/XMLSchema-instance" xsi:type="dcterms:W3CDTF">2026-09-01T17:19:07Z</dcterms:modified>
</cp:coreProperties>
</file>